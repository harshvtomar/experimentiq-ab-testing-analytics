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3c113c651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82b1f1f9b22d469f"/>
    <x:sheet xmlns:r="http://schemas.openxmlformats.org/officeDocument/2006/relationships" name="Scenario Inputs" sheetId="2" r:id="R996e433f3f644c47"/>
    <x:sheet xmlns:r="http://schemas.openxmlformats.org/officeDocument/2006/relationships" name="Revenue &amp; Contribution" sheetId="3" r:id="R7b1056c1bb4c491c"/>
    <x:sheet xmlns:r="http://schemas.openxmlformats.org/officeDocument/2006/relationships" name="Sensitivity Analysis" sheetId="4" r:id="R3a24ea080b1843eb"/>
    <x:sheet xmlns:r="http://schemas.openxmlformats.org/officeDocument/2006/relationships" name="Experiment Results" sheetId="5" r:id="Raa679a6720d241a6"/>
    <x:sheet xmlns:r="http://schemas.openxmlformats.org/officeDocument/2006/relationships" name="Statistical Evidence" sheetId="6" r:id="Rc6ce092fd6714d18"/>
    <x:sheet xmlns:r="http://schemas.openxmlformats.org/officeDocument/2006/relationships" name="Dictionary &amp; Methodology" sheetId="7" r:id="Rca864fdad18140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.0%;(0.0%);&quot;-&quot;"/>
    <x:numFmt numFmtId="202" formatCode="$#,##0.00;($#,##0.00);&quot;-&quot;"/>
    <x:numFmt numFmtId="203" formatCode="0.00"/>
    <x:numFmt numFmtId="204" formatCode="0.0000%"/>
    <x:numFmt numFmtId="205" formatCode="0.0000;(0.0000);&quot;-&quot;"/>
    <x:numFmt numFmtId="206" formatCode="0.000E+00"/>
    <x:numFmt numFmtId="207" formatCode="0.000000"/>
    <x:numFmt numFmtId="208" formatCode="0.00%"/>
  </x:numFmts>
  <x:fonts count="10">
    <x:font>
      <x:sz val="11"/>
      <x:name val="Carlito"/>
    </x:font>
    <x:font>
      <x:sz val="10"/>
      <x:color rgb="FF18364D"/>
      <x:name val="Arial"/>
    </x:font>
    <x:font>
      <x:b/>
      <x:sz val="16"/>
      <x:color rgb="FFFFFFFF"/>
      <x:name val="Arial"/>
    </x:font>
    <x:font>
      <x:sz val="10"/>
      <x:color rgb="FF52657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172B40"/>
      <x:name val="Arial"/>
    </x:font>
    <x:font>
      <x:sz val="10"/>
      <x:color rgb="FF00804A"/>
      <x:name val="Arial"/>
    </x:font>
    <x:font>
      <x:b/>
      <x:sz val="10"/>
      <x:color rgb="FF18364D"/>
      <x:name val="Arial"/>
    </x:font>
    <x:font>
      <x:b/>
      <x:sz val="10"/>
      <x:color rgb="FF172B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64D"/>
      </x:patternFill>
    </x:fill>
    <x:fill>
      <x:patternFill patternType="solid">
        <x:fgColor rgb="FFFFF1C7"/>
      </x:patternFill>
    </x:fill>
    <x:fill>
      <x:patternFill patternType="solid">
        <x:fgColor rgb="FFEE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6C4D0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0" fontId="6" fillId="0" borderId="0" xfId="0" applyNumberFormat="1" applyFont="1" applyFill="1" applyBorder="1"/>
    <x:xf numFmtId="200" fontId="1" fillId="0" borderId="0" xfId="0" applyNumberFormat="1" applyFont="1" applyFill="1" applyBorder="1"/>
    <x:xf numFmtId="204" fontId="1" fillId="0" borderId="0" xfId="0" applyNumberFormat="1" applyFont="1" applyFill="1" applyBorder="1"/>
    <x:xf numFmtId="202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6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1" fontId="6" fillId="0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202" fontId="6" fillId="4" borderId="0" xfId="0" applyNumberFormat="1" applyFont="1" applyFill="1" applyBorder="1"/>
    <x:xf numFmtId="0" fontId="8" fillId="4" borderId="0" xfId="0" applyNumberFormat="1" applyFont="1" applyFill="1" applyBorder="1"/>
    <x:xf numFmtId="202" fontId="8" fillId="4" borderId="0" xfId="0" applyNumberFormat="1" applyFont="1" applyFill="1" applyBorder="1"/>
    <x:xf numFmtId="202" fontId="9" fillId="4" borderId="0" xfId="0" applyNumberFormat="1" applyFont="1" applyFill="1" applyBorder="1"/>
    <x:xf numFmtId="0" fontId="8" fillId="4" borderId="1" xfId="0" applyNumberFormat="1" applyFont="1" applyFill="1" applyBorder="1"/>
    <x:xf numFmtId="202" fontId="8" fillId="4" borderId="1" xfId="0" applyNumberFormat="1" applyFont="1" applyFill="1" applyBorder="1"/>
    <x:xf numFmtId="202" fontId="9" fillId="4" borderId="1" xfId="0" applyNumberFormat="1" applyFont="1" applyFill="1" applyBorder="1"/>
    <x:xf numFmtId="207" fontId="1" fillId="0" borderId="0" xfId="0" applyNumberFormat="1" applyFont="1" applyFill="1" applyBorder="1"/>
    <x:xf numFmtId="208" fontId="7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62626"/>
      </x:font>
      <x:fill>
        <x:patternFill patternType="solid">
          <x:bgColor rgb="FFFFF0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d329e24904e94" /><Relationship Type="http://schemas.openxmlformats.org/officeDocument/2006/relationships/theme" Target="/xl/theme/theme1.xml" Id="R49a09e3f90814eaf" /><Relationship Type="http://schemas.openxmlformats.org/officeDocument/2006/relationships/sharedStrings" Target="/xl/sharedStrings.xml" Id="R6d5346ffff914941" /><Relationship Type="http://schemas.openxmlformats.org/officeDocument/2006/relationships/worksheet" Target="/xl/worksheets/sheet1.xml" Id="R82b1f1f9b22d469f" /><Relationship Type="http://schemas.openxmlformats.org/officeDocument/2006/relationships/worksheet" Target="/xl/worksheets/sheet2.xml" Id="R996e433f3f644c47" /><Relationship Type="http://schemas.openxmlformats.org/officeDocument/2006/relationships/worksheet" Target="/xl/worksheets/sheet3.xml" Id="R7b1056c1bb4c491c" /><Relationship Type="http://schemas.openxmlformats.org/officeDocument/2006/relationships/worksheet" Target="/xl/worksheets/sheet4.xml" Id="R3a24ea080b1843eb" /><Relationship Type="http://schemas.openxmlformats.org/officeDocument/2006/relationships/worksheet" Target="/xl/worksheets/sheet5.xml" Id="Raa679a6720d241a6" /><Relationship Type="http://schemas.openxmlformats.org/officeDocument/2006/relationships/worksheet" Target="/xl/worksheets/sheet6.xml" Id="Rc6ce092fd6714d18" /><Relationship Type="http://schemas.openxmlformats.org/officeDocument/2006/relationships/worksheet" Target="/xl/worksheets/sheet7.xml" Id="Rca864fdad18140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e8607c79f5464d" /><Relationship Type="http://schemas.openxmlformats.org/officeDocument/2006/relationships/chart" Target="/xl/drawings/charts/chart2.xml" Id="R477ef005b28a4a2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0636bec2aa24c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Observed conversion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Conversion rate</c:v>
          </c:tx>
          <c:spPr>
            <a:solidFill xmlns:a="http://schemas.openxmlformats.org/drawingml/2006/main">
              <a:srgbClr val="176BBA"/>
            </a:solidFill>
          </c:spPr>
          <c:invertIfNegative val="0"/>
          <c:cat>
            <c:strRef>
              <c:f>'Executive Dashboard'!$C$7:$C$9</c:f>
              <c:strCache>
                <c:ptCount val="0"/>
              </c:strCache>
            </c:strRef>
          </c:cat>
          <c:val>
            <c:numRef>
              <c:f>'Executive Dashboard'!$E$7:$E$9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Hypothetical net contribution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scenario ($)</c:v>
          </c:tx>
          <c:spPr>
            <a:solidFill xmlns:a="http://schemas.openxmlformats.org/drawingml/2006/main">
              <a:srgbClr val="176BBA"/>
            </a:solidFill>
          </c:spPr>
          <c:invertIfNegative val="0"/>
          <c:cat>
            <c:strRef>
              <c:f>'Executive Dashboard'!$C$7:$C$9</c:f>
              <c:strCache>
                <c:ptCount val="0"/>
              </c:strCache>
            </c:strRef>
          </c:cat>
          <c:val>
            <c:numRef>
              <c:f>'Executive Dashboard'!$G$7:$G$9</c:f>
              <c:numCache>
                <c:formatCode>$#,##0.00;($#,##0.00);"-"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Margin sensitivity: net contribution ($)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Men's email net ($)</c:v>
          </c:tx>
          <c:spPr>
            <a:solidFill xmlns:a="http://schemas.openxmlformats.org/drawingml/2006/main">
              <a:srgbClr val="176BBA"/>
            </a:solidFill>
            <a:ln xmlns:a="http://schemas.openxmlformats.org/drawingml/2006/main" w="19050">
              <a:solidFill>
                <a:srgbClr val="176BBA"/>
              </a:solidFill>
              <a:prstDash val="solid"/>
            </a:ln>
          </c:spPr>
          <c:marker>
            <c:symbol val="none"/>
          </c:marker>
          <c:cat>
            <c:strRef>
              <c:f>'Sensitivity Analysis'!$C$7:$C$12</c:f>
              <c:strCache>
                <c:ptCount val="0"/>
              </c:strCache>
            </c:strRef>
          </c:cat>
          <c:val>
            <c:numRef>
              <c:f>'Sensitivity Analysis'!$D$7:$D$12</c:f>
              <c:numCache>
                <c:formatCode>$#,##0.00;($#,##0.00);"-"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Women's email net ($)</c:v>
          </c:tx>
          <c:spPr>
            <a:solidFill xmlns:a="http://schemas.openxmlformats.org/drawingml/2006/main">
              <a:srgbClr val="168776"/>
            </a:solidFill>
            <a:ln xmlns:a="http://schemas.openxmlformats.org/drawingml/2006/main" w="19050">
              <a:solidFill>
                <a:srgbClr val="168776"/>
              </a:solidFill>
              <a:prstDash val="solid"/>
            </a:ln>
          </c:spPr>
          <c:marker>
            <c:symbol val="none"/>
          </c:marker>
          <c:cat>
            <c:strRef>
              <c:f>'Sensitivity Analysis'!$C$7:$C$12</c:f>
              <c:strCache>
                <c:ptCount val="0"/>
              </c:strCache>
            </c:strRef>
          </c:cat>
          <c:val>
            <c:numRef>
              <c:f>'Sensitivity Analysis'!$E$7:$E$12</c:f>
              <c:numCache>
                <c:formatCode>$#,##0.00;($#,##0.00);"-"</c:formatCode>
                <c:ptCount val="0"/>
              </c:numCache>
            </c:numRef>
          </c:val>
          <c:smooth val="0"/>
        </c:ser>
        <c:ser>
          <c:idx val="2"/>
          <c:order val="2"/>
          <c:tx>
            <c:v>Control net ($)</c:v>
          </c:tx>
          <c:spPr>
            <a:solidFill xmlns:a="http://schemas.openxmlformats.org/drawingml/2006/main">
              <a:srgbClr val="61758A"/>
            </a:solidFill>
            <a:ln xmlns:a="http://schemas.openxmlformats.org/drawingml/2006/main" w="19050">
              <a:solidFill>
                <a:srgbClr val="61758A"/>
              </a:solidFill>
              <a:prstDash val="solid"/>
            </a:ln>
          </c:spPr>
          <c:marker>
            <c:symbol val="none"/>
          </c:marker>
          <c:cat>
            <c:strRef>
              <c:f>'Sensitivity Analysis'!$C$7:$C$12</c:f>
              <c:strCache>
                <c:ptCount val="0"/>
              </c:strCache>
            </c:strRef>
          </c:cat>
          <c:val>
            <c:numRef>
              <c:f>'Sensitivity Analysis'!$F$7:$F$12</c:f>
              <c:numCache>
                <c:formatCode>$#,##0.00;($#,##0.00);"-"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13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e8607c79f5464d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7ef005b28a4a2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636bec2aa24c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b18ebd40ef4a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968231c873c4abd" /></Relationships>
</file>

<file path=xl/worksheets/sheet1.xml><?xml version="1.0" encoding="utf-8"?>
<x:worksheet xmlns:x="http://schemas.openxmlformats.org/spreadsheetml/2006/main">
  <x:sheetPr>
    <x:tabColor rgb="FF18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6" customHeight="1">
      <x:c r="A2" s="1"/>
      <x:c r="B2" s="1"/>
      <x:c r="C2" s="3" t="str">
        <x:v>Executive Dashboard</x:v>
      </x:c>
      <x:c r="D2" s="3"/>
      <x:c r="E2" s="3"/>
      <x:c r="F2" s="3"/>
      <x:c r="G2" s="3"/>
      <x:c r="H2" s="3"/>
      <x:c r="I2" s="3"/>
      <x:c r="J2" s="3"/>
      <x:c r="K2" s="3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1"/>
      <x:c r="B4" s="1"/>
      <x:c r="C4" s="5" t="str">
        <x:v>64,000 randomized customers. Two-week outcomes. Evidence supports contemporary replication; commercial profitability depends on explicit assumptions.</x:v>
      </x:c>
      <x:c r="D4" s="5"/>
      <x:c r="E4" s="5"/>
      <x:c r="F4" s="5"/>
      <x:c r="G4" s="5"/>
      <x:c r="H4" s="5"/>
      <x:c r="I4" s="5"/>
      <x:c r="J4" s="5"/>
      <x:c r="K4" s="5"/>
      <x:c r="L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6" customHeight="1">
      <x:c r="A6" s="1"/>
      <x:c r="B6" s="1"/>
      <x:c r="C6" s="9" t="str">
        <x:v>Intervention</x:v>
      </x:c>
      <x:c r="D6" s="9" t="str">
        <x:v>Assigned customers</x:v>
      </x:c>
      <x:c r="E6" s="9" t="str">
        <x:v>Conversion rate</x:v>
      </x:c>
      <x:c r="F6" s="9" t="str">
        <x:v>Spend/customer ($)</x:v>
      </x:c>
      <x:c r="G6" s="9" t="str">
        <x:v>Net scenario ($)</x:v>
      </x:c>
      <x:c r="H6" s="9" t="str">
        <x:v>Lower net ($)</x:v>
      </x:c>
      <x:c r="I6" s="1"/>
      <x:c r="J6" s="1"/>
      <x:c r="K6" s="1"/>
      <x:c r="L6" s="1"/>
    </x:row>
    <x:row r="7" ht="24" customHeight="1">
      <x:c r="A7" s="1"/>
      <x:c r="B7" s="1"/>
      <x:c r="C7" s="1" t="str">
        <x:f>'Experiment Results'!C7</x:f>
        <x:v>Control</x:v>
      </x:c>
      <x:c r="D7" s="17" t="n">
        <x:f>'Experiment Results'!D7</x:f>
        <x:v>21306</x:v>
      </x:c>
      <x:c r="E7" s="43" t="n">
        <x:f>'Experiment Results'!F7</x:f>
        <x:v>0.0057260865483901</x:v>
      </x:c>
      <x:c r="F7" s="19" t="n">
        <x:f>'Experiment Results'!J7</x:f>
        <x:v>0.6527893551112363</x:v>
      </x:c>
      <x:c r="G7" s="19" t="n">
        <x:f>'Revenue &amp; Contribution'!D22</x:f>
        <x:v>0</x:v>
      </x:c>
      <x:c r="H7" s="19" t="n">
        <x:f>'Revenue &amp; Contribution'!D23</x:f>
        <x:v>0</x:v>
      </x:c>
      <x:c r="I7" s="1"/>
      <x:c r="J7" s="1"/>
      <x:c r="K7" s="1"/>
      <x:c r="L7" s="1"/>
    </x:row>
    <x:row r="8" ht="24" customHeight="1">
      <x:c r="A8" s="1"/>
      <x:c r="B8" s="1"/>
      <x:c r="C8" s="1" t="str">
        <x:f>'Experiment Results'!C8</x:f>
        <x:v>Men's email</x:v>
      </x:c>
      <x:c r="D8" s="17" t="n">
        <x:f>'Experiment Results'!D8</x:f>
        <x:v>21307</x:v>
      </x:c>
      <x:c r="E8" s="43" t="n">
        <x:f>'Experiment Results'!F8</x:f>
        <x:v>0.0125310930680058</x:v>
      </x:c>
      <x:c r="F8" s="19" t="n">
        <x:f>'Experiment Results'!J8</x:f>
        <x:v>1.422616511005773</x:v>
      </x:c>
      <x:c r="G8" s="19" t="n">
        <x:f>'Revenue &amp; Contribution'!E22</x:f>
        <x:v>2079.308623578147</x:v>
      </x:c>
      <x:c r="H8" s="19" t="n">
        <x:f>'Revenue &amp; Contribution'!E23</x:f>
        <x:v>955.3758024080967</x:v>
      </x:c>
      <x:c r="I8" s="1"/>
      <x:c r="J8" s="1"/>
      <x:c r="K8" s="1"/>
      <x:c r="L8" s="1"/>
    </x:row>
    <x:row r="9" ht="24" customHeight="1">
      <x:c r="A9" s="1"/>
      <x:c r="B9" s="1"/>
      <x:c r="C9" s="1" t="str">
        <x:f>'Experiment Results'!C9</x:f>
        <x:v>Women's email</x:v>
      </x:c>
      <x:c r="D9" s="17" t="n">
        <x:f>'Experiment Results'!D9</x:f>
        <x:v>21387</x:v>
      </x:c>
      <x:c r="E9" s="43" t="n">
        <x:f>'Experiment Results'!F9</x:f>
        <x:v>0.0088371440594753</x:v>
      </x:c>
      <x:c r="F9" s="19" t="n">
        <x:f>'Experiment Results'!J9</x:f>
        <x:v>1.0772015710478329</x:v>
      </x:c>
      <x:c r="G9" s="19" t="n">
        <x:f>'Revenue &amp; Contribution'!F22</x:f>
        <x:v>697.6488637463872</x:v>
      </x:c>
      <x:c r="H9" s="19" t="n">
        <x:f>'Revenue &amp; Contribution'!F23</x:f>
        <x:v>-323.86370289423166</x:v>
      </x:c>
      <x:c r="I9" s="1"/>
      <x:c r="J9" s="1"/>
      <x:c r="K9" s="1"/>
      <x:c r="L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42" customHeight="1">
      <x:c r="A11" s="1"/>
      <x:c r="B11" s="1"/>
      <x:c r="C11" s="5" t="str">
        <x:v>Scenario values are hypothetical, linked to the yellow input cells. Revenue is not profit. Lower net values are conditional transformations of pointwise revenue intervals.</x:v>
      </x:c>
      <x:c r="D11" s="5"/>
      <x:c r="E11" s="5"/>
      <x:c r="F11" s="5"/>
      <x:c r="G11" s="5"/>
      <x:c r="H11" s="5"/>
      <x:c r="I11" s="5"/>
      <x:c r="J11" s="5"/>
      <x:c r="K11" s="5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42" customHeight="1">
      <x:c r="A30" s="1"/>
      <x:c r="B30" s="1"/>
      <x:c r="C30" s="5" t="str">
        <x:v>Before rollout: measure costs and margins, set an economic threshold, and run a contemporary randomized replication with unsubscribe, complaint and deliverability guardrails.</x:v>
      </x:c>
      <x:c r="D30" s="5"/>
      <x:c r="E30" s="5"/>
      <x:c r="F30" s="5"/>
      <x:c r="G30" s="5"/>
      <x:c r="H30" s="5"/>
      <x:c r="I30" s="5"/>
      <x:c r="J30" s="5"/>
      <x:c r="K30" s="5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C2:K2"/>
    <x:mergeCell ref="C4:K4"/>
    <x:mergeCell ref="C11:K11"/>
    <x:mergeCell ref="C30:K30"/>
  </x:mergeCells>
  <x:pageMargins left="0.7" right="0.7" top="0.75" bottom="0.75" header="0.3" footer="0.3"/>
  <x:drawing xmlns:r="http://schemas.openxmlformats.org/officeDocument/2006/relationships" r:id="R14b18ebd40ef4ad9"/>
</x:worksheet>
</file>

<file path=xl/worksheets/sheet2.xml><?xml version="1.0" encoding="utf-8"?>
<x:worksheet xmlns:x="http://schemas.openxmlformats.org/spreadsheetml/2006/main">
  <x:sheetPr>
    <x:tabColor rgb="FF18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7" hidden="0" customWidth="1"/>
    <x:col min="5" max="5" width="4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6" customHeight="1">
      <x:c r="A2" s="1"/>
      <x:c r="B2" s="1"/>
      <x:c r="C2" s="3" t="str">
        <x:v>Scenario Inputs</x:v>
      </x:c>
      <x:c r="D2" s="3"/>
      <x:c r="E2" s="3"/>
      <x:c r="F2" s="3"/>
      <x:c r="G2" s="3"/>
      <x:c r="H2" s="3"/>
      <x:c r="I2" s="3"/>
      <x:c r="J2" s="3"/>
      <x:c r="K2" s="3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1"/>
      <x:c r="B4" s="1"/>
      <x:c r="C4" s="5" t="str">
        <x:v>All commercial inputs below are hypothetical and editable. These are not observed retailer costs or margins.</x:v>
      </x:c>
      <x:c r="D4" s="5"/>
      <x:c r="E4" s="5"/>
      <x:c r="F4" s="5"/>
      <x:c r="G4" s="5"/>
      <x:c r="H4" s="5"/>
      <x:c r="I4" s="5"/>
      <x:c r="J4" s="5"/>
      <x:c r="K4" s="5"/>
      <x:c r="L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6" customHeight="1">
      <x:c r="A6" s="1"/>
      <x:c r="B6" s="1"/>
      <x:c r="C6" s="9" t="str">
        <x:v>Assumption</x:v>
      </x:c>
      <x:c r="D6" s="9" t="str">
        <x:v>Editable value</x:v>
      </x:c>
      <x:c r="E6" s="9" t="str">
        <x:v>Definition</x:v>
      </x:c>
      <x:c r="F6" s="1"/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 t="str">
        <x:v>Eligible audience</x:v>
      </x:c>
      <x:c r="D7" s="12" t="n">
        <x:v>10000</x:v>
      </x:c>
      <x:c r="E7" s="1" t="str">
        <x:v>Whole assigned customers</x:v>
      </x:c>
      <x:c r="F7" s="1"/>
      <x:c r="G7" s="1"/>
      <x:c r="H7" s="1"/>
      <x:c r="I7" s="1"/>
      <x:c r="J7" s="1"/>
      <x:c r="K7" s="1"/>
      <x:c r="L7" s="1"/>
    </x:row>
    <x:row r="8" ht="24" customHeight="1">
      <x:c r="A8" s="1"/>
      <x:c r="B8" s="1"/>
      <x:c r="C8" s="1" t="str">
        <x:v>Contribution margin</x:v>
      </x:c>
      <x:c r="D8" s="13" t="n">
        <x:v>0.4</x:v>
      </x:c>
      <x:c r="E8" s="1" t="str">
        <x:v>Margin on incremental revenue</x:v>
      </x:c>
      <x:c r="F8" s="1"/>
      <x:c r="G8" s="1"/>
      <x:c r="H8" s="1"/>
      <x:c r="I8" s="1"/>
      <x:c r="J8" s="1"/>
      <x:c r="K8" s="1"/>
      <x:c r="L8" s="1"/>
    </x:row>
    <x:row r="9" ht="24" customHeight="1">
      <x:c r="A9" s="1"/>
      <x:c r="B9" s="1"/>
      <x:c r="C9" s="1" t="str">
        <x:v>Delivery cost ($/customer)</x:v>
      </x:c>
      <x:c r="D9" s="14" t="n">
        <x:v>0.05</x:v>
      </x:c>
      <x:c r="E9" s="1" t="str">
        <x:v>Incremental cost versus no email</x:v>
      </x:c>
      <x:c r="F9" s="1"/>
      <x:c r="G9" s="1"/>
      <x:c r="H9" s="1"/>
      <x:c r="I9" s="1"/>
      <x:c r="J9" s="1"/>
      <x:c r="K9" s="1"/>
      <x:c r="L9" s="1"/>
    </x:row>
    <x:row r="10" ht="24" customHeight="1">
      <x:c r="A10" s="1"/>
      <x:c r="B10" s="1"/>
      <x:c r="C10" s="1" t="str">
        <x:v>Fixed setup cost ($)</x:v>
      </x:c>
      <x:c r="D10" s="14" t="n">
        <x:v>500</x:v>
      </x:c>
      <x:c r="E10" s="1" t="str">
        <x:v>Incurred even at zero audience</x:v>
      </x:c>
      <x:c r="F10" s="1"/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1" t="str">
        <x:v>Effect multiplier</x:v>
      </x:c>
      <x:c r="D11" s="15" t="n">
        <x:v>1</x:v>
      </x:c>
      <x:c r="E11" s="1" t="str">
        <x:v>0 to 1; scales effect and interval</x:v>
      </x:c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 t="str">
        <x:v>Input status</x:v>
      </x:c>
      <x:c r="D13" s="16" t="str">
        <x:f>IF(COUNT(D7:D11)&lt;&gt;5,"Missing / nonnumeric",IF(OR(D7&lt;0,D7&gt;1000000000000,MOD(D7,1)&lt;&gt;0,D8&lt;0,D8&gt;1,D9&lt;0,D9&gt;1000000000000,D10&lt;0,D10&gt;1000000000000,D11&lt;0,D11&gt;1),"Invalid","Valid"))</x:f>
        <x:v>Valid</x:v>
      </x:c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42" customHeight="1">
      <x:c r="A16" s="1"/>
      <x:c r="B16" s="1"/>
      <x:c r="C16" s="5" t="str">
        <x:v>Yellow / blue text: editable inputs. Green: cross-sheet links in the model. Dark text: calculated outputs. Imported experimental measurements stay separate.</x:v>
      </x:c>
      <x:c r="D16" s="5"/>
      <x:c r="E16" s="5"/>
      <x:c r="F16" s="5"/>
      <x:c r="G16" s="5"/>
      <x:c r="H16" s="5"/>
      <x:c r="I16" s="5"/>
      <x:c r="J16" s="5"/>
      <x:c r="K16" s="5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42" customHeight="1">
      <x:c r="A19" s="1"/>
      <x:c r="B19" s="1"/>
      <x:c r="C19" s="5" t="str">
        <x:v>Clear an input to make financial outputs unavailable. Zero is valid. Costs are incremental versus control. Multiplier below 1 is not conservative for negative effects.</x:v>
      </x:c>
      <x:c r="D19" s="5"/>
      <x:c r="E19" s="5"/>
      <x:c r="F19" s="5"/>
      <x:c r="G19" s="5"/>
      <x:c r="H19" s="5"/>
      <x:c r="I19" s="5"/>
      <x:c r="J19" s="5"/>
      <x:c r="K19" s="5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C2:K2"/>
    <x:mergeCell ref="C4:K4"/>
    <x:mergeCell ref="D13:E13"/>
    <x:mergeCell ref="C16:K16"/>
    <x:mergeCell ref="C19:K19"/>
  </x:mergeCells>
  <x:dataValidations count="5">
    <x:dataValidation type="whole" operator="between" sqref="D7">
      <x:formula1>0</x:formula1>
      <x:formula2>1000000000000</x:formula2>
    </x:dataValidation>
    <x:dataValidation type="decimal" operator="between" sqref="D8">
      <x:formula1>0</x:formula1>
      <x:formula2>1</x:formula2>
    </x:dataValidation>
    <x:dataValidation type="decimal" operator="between" sqref="D11">
      <x:formula1>0</x:formula1>
      <x:formula2>1</x:formula2>
    </x:dataValidation>
    <x:dataValidation type="decimal" operator="between" sqref="D9">
      <x:formula1>0</x:formula1>
      <x:formula2>1000000000000</x:formula2>
    </x:dataValidation>
    <x:dataValidation type="decimal" operator="between" sqref="D10">
      <x:formula1>0</x:formula1>
      <x:formula2>1000000000000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8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6" customHeight="1">
      <x:c r="A2" s="1"/>
      <x:c r="B2" s="1"/>
      <x:c r="C2" s="3" t="str">
        <x:v>Revenue &amp; Contribution</x:v>
      </x:c>
      <x:c r="D2" s="3"/>
      <x:c r="E2" s="3"/>
      <x:c r="F2" s="3"/>
      <x:c r="G2" s="3"/>
      <x:c r="H2" s="3"/>
      <x:c r="I2" s="3"/>
      <x:c r="J2" s="3"/>
      <x:c r="K2" s="3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1"/>
      <x:c r="B4" s="1"/>
      <x:c r="C4" s="5" t="str">
        <x:v>One shared assumption set compares interventions versus no-email control. Monetary outputs are conditional scenarios in source dollars.</x:v>
      </x:c>
      <x:c r="D4" s="5"/>
      <x:c r="E4" s="5"/>
      <x:c r="F4" s="5"/>
      <x:c r="G4" s="5"/>
      <x:c r="H4" s="5"/>
      <x:c r="I4" s="5"/>
      <x:c r="J4" s="5"/>
      <x:c r="K4" s="5"/>
      <x:c r="L4" s="1"/>
    </x:row>
    <x:row r="5" ht="36" customHeight="1">
      <x:c r="A5" s="1"/>
      <x:c r="B5" s="1"/>
      <x:c r="C5" s="9" t="str">
        <x:v>Calculation</x:v>
      </x:c>
      <x:c r="D5" s="9" t="str">
        <x:v>Control</x:v>
      </x:c>
      <x:c r="E5" s="9" t="str">
        <x:v>Men's email</x:v>
      </x:c>
      <x:c r="F5" s="9" t="str">
        <x:v>Women's email</x:v>
      </x:c>
      <x:c r="G5" s="1"/>
      <x:c r="H5" s="1"/>
      <x:c r="I5" s="1"/>
      <x:c r="J5" s="1"/>
      <x:c r="K5" s="1"/>
      <x:c r="L5" s="1"/>
    </x:row>
    <x:row r="6" ht="24" customHeight="1">
      <x:c r="A6" s="1"/>
      <x:c r="B6" s="1"/>
      <x:c r="C6" s="1" t="str">
        <x:v>Eligible audience</x:v>
      </x:c>
      <x:c r="D6" s="25" t="n">
        <x:f>IF(ISNUMBER('Scenario Inputs'!$D$7),'Scenario Inputs'!$D$7,"n.a.")</x:f>
        <x:v>10000</x:v>
      </x:c>
      <x:c r="E6" s="25" t="n">
        <x:f>IF(ISNUMBER('Scenario Inputs'!$D$7),'Scenario Inputs'!$D$7,"n.a.")</x:f>
        <x:v>10000</x:v>
      </x:c>
      <x:c r="F6" s="25" t="n">
        <x:f>IF(ISNUMBER('Scenario Inputs'!$D$7),'Scenario Inputs'!$D$7,"n.a.")</x:f>
        <x:v>10000</x:v>
      </x:c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1" t="str">
        <x:v>Contribution margin</x:v>
      </x:c>
      <x:c r="D7" s="26" t="n">
        <x:f>IF(ISNUMBER('Scenario Inputs'!$D$8),'Scenario Inputs'!$D$8,"n.a.")</x:f>
        <x:v>0.4</x:v>
      </x:c>
      <x:c r="E7" s="26" t="n">
        <x:f>IF(ISNUMBER('Scenario Inputs'!$D$8),'Scenario Inputs'!$D$8,"n.a.")</x:f>
        <x:v>0.4</x:v>
      </x:c>
      <x:c r="F7" s="26" t="n">
        <x:f>IF(ISNUMBER('Scenario Inputs'!$D$8),'Scenario Inputs'!$D$8,"n.a.")</x:f>
        <x:v>0.4</x:v>
      </x:c>
      <x:c r="G7" s="1"/>
      <x:c r="H7" s="1"/>
      <x:c r="I7" s="1"/>
      <x:c r="J7" s="1"/>
      <x:c r="K7" s="1"/>
      <x:c r="L7" s="1"/>
    </x:row>
    <x:row r="8" ht="24" customHeight="1">
      <x:c r="A8" s="1"/>
      <x:c r="B8" s="1"/>
      <x:c r="C8" s="1" t="str">
        <x:v>Delivery cost / customer</x:v>
      </x:c>
      <x:c r="D8" s="23" t="n">
        <x:f>IF(ISNUMBER('Scenario Inputs'!$D$9),'Scenario Inputs'!$D$9,"n.a.")</x:f>
        <x:v>0.05</x:v>
      </x:c>
      <x:c r="E8" s="23" t="n">
        <x:f>IF(ISNUMBER('Scenario Inputs'!$D$9),'Scenario Inputs'!$D$9,"n.a.")</x:f>
        <x:v>0.05</x:v>
      </x:c>
      <x:c r="F8" s="23" t="n">
        <x:f>IF(ISNUMBER('Scenario Inputs'!$D$9),'Scenario Inputs'!$D$9,"n.a.")</x:f>
        <x:v>0.05</x:v>
      </x:c>
      <x:c r="G8" s="1"/>
      <x:c r="H8" s="1"/>
      <x:c r="I8" s="1"/>
      <x:c r="J8" s="1"/>
      <x:c r="K8" s="1"/>
      <x:c r="L8" s="1"/>
    </x:row>
    <x:row r="9" ht="24" customHeight="1">
      <x:c r="A9" s="1"/>
      <x:c r="B9" s="1"/>
      <x:c r="C9" s="1" t="str">
        <x:v>Fixed setup cost</x:v>
      </x:c>
      <x:c r="D9" s="23" t="n">
        <x:f>IF(ISNUMBER('Scenario Inputs'!$D$10),'Scenario Inputs'!$D$10,"n.a.")</x:f>
        <x:v>500</x:v>
      </x:c>
      <x:c r="E9" s="23" t="n">
        <x:f>IF(ISNUMBER('Scenario Inputs'!$D$10),'Scenario Inputs'!$D$10,"n.a.")</x:f>
        <x:v>500</x:v>
      </x:c>
      <x:c r="F9" s="23" t="n">
        <x:f>IF(ISNUMBER('Scenario Inputs'!$D$10),'Scenario Inputs'!$D$10,"n.a.")</x:f>
        <x:v>500</x:v>
      </x:c>
      <x:c r="G9" s="1"/>
      <x:c r="H9" s="1"/>
      <x:c r="I9" s="1"/>
      <x:c r="J9" s="1"/>
      <x:c r="K9" s="1"/>
      <x:c r="L9" s="1"/>
    </x:row>
    <x:row r="10" ht="24" customHeight="1">
      <x:c r="A10" s="1"/>
      <x:c r="B10" s="1"/>
      <x:c r="C10" s="1" t="str">
        <x:v>Effect multiplier</x:v>
      </x:c>
      <x:c r="D10" s="27" t="n">
        <x:f>IF(ISNUMBER('Scenario Inputs'!$D$11),'Scenario Inputs'!$D$11,"n.a.")</x:f>
        <x:v>1</x:v>
      </x:c>
      <x:c r="E10" s="27" t="n">
        <x:f>IF(ISNUMBER('Scenario Inputs'!$D$11),'Scenario Inputs'!$D$11,"n.a.")</x:f>
        <x:v>1</x:v>
      </x:c>
      <x:c r="F10" s="27" t="n">
        <x:f>IF(ISNUMBER('Scenario Inputs'!$D$11),'Scenario Inputs'!$D$11,"n.a.")</x:f>
        <x:v>1</x:v>
      </x:c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1" t="str">
        <x:v>Input status</x:v>
      </x:c>
      <x:c r="D11" s="23" t="str">
        <x:f>'Scenario Inputs'!$D$13</x:f>
        <x:v>Valid</x:v>
      </x:c>
      <x:c r="E11" s="23" t="str">
        <x:f>'Scenario Inputs'!$D$13</x:f>
        <x:v>Valid</x:v>
      </x:c>
      <x:c r="F11" s="23" t="str">
        <x:f>'Scenario Inputs'!$D$13</x:f>
        <x:v>Valid</x:v>
      </x:c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 t="str">
        <x:v>Measured revenue effect</x:v>
      </x:c>
      <x:c r="D12" s="20" t="n">
        <x:v>0</x:v>
      </x:c>
      <x:c r="E12" s="28" t="n">
        <x:f>'Experiment Results'!D14</x:f>
        <x:v>0.7698271558945368</x:v>
      </x:c>
      <x:c r="F12" s="28" t="n">
        <x:f>'Experiment Results'!D15</x:f>
        <x:v>0.4244122159365967</x:v>
      </x:c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 t="str">
        <x:v>Measured 95% lower</x:v>
      </x:c>
      <x:c r="D13" s="20" t="n">
        <x:v>0</x:v>
      </x:c>
      <x:c r="E13" s="28" t="n">
        <x:f>'Experiment Results'!E14</x:f>
        <x:v>0.4888439506020242</x:v>
      </x:c>
      <x:c r="F13" s="28" t="n">
        <x:f>'Experiment Results'!E15</x:f>
        <x:v>0.1690340742764421</x:v>
      </x:c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 t="str">
        <x:v>Measured 95% upper</x:v>
      </x:c>
      <x:c r="D14" s="20" t="n">
        <x:v>0</x:v>
      </x:c>
      <x:c r="E14" s="28" t="n">
        <x:f>'Experiment Results'!F14</x:f>
        <x:v>1.057274164706138</x:v>
      </x:c>
      <x:c r="F14" s="28" t="n">
        <x:f>'Experiment Results'!F15</x:f>
        <x:v>0.6809540752206753</x:v>
      </x:c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20"/>
      <x:c r="E15" s="20"/>
      <x:c r="F15" s="20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 t="str">
        <x:v>Effective revenue uplift</x:v>
      </x:c>
      <x:c r="D16" s="20" t="n">
        <x:v>0</x:v>
      </x:c>
      <x:c r="E16" s="29" t="n">
        <x:f>IF(E$11&lt;&gt;"Valid","n.a.",E12*E10)</x:f>
        <x:v>0.7698271558945368</x:v>
      </x:c>
      <x:c r="F16" s="29" t="n">
        <x:f>IF(F$11&lt;&gt;"Valid","n.a.",F12*F10)</x:f>
        <x:v>0.4244122159365967</x:v>
      </x:c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38" t="str">
        <x:v>Projected incremental revenue</x:v>
      </x:c>
      <x:c r="D17" s="39" t="n">
        <x:v>0</x:v>
      </x:c>
      <x:c r="E17" s="40" t="n">
        <x:f>IF(E$11&lt;&gt;"Valid","n.a.",E6*E16)</x:f>
        <x:v>7698.271558945367</x:v>
      </x:c>
      <x:c r="F17" s="40" t="n">
        <x:f>IF(F$11&lt;&gt;"Valid","n.a.",F6*F16)</x:f>
        <x:v>4244.1221593659675</x:v>
      </x:c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 t="str">
        <x:v>Incremental gross contribution</x:v>
      </x:c>
      <x:c r="D18" s="19" t="n">
        <x:v>0</x:v>
      </x:c>
      <x:c r="E18" s="24" t="n">
        <x:f>IF(E$11&lt;&gt;"Valid","n.a.",E17*E7)</x:f>
        <x:v>3079.308623578147</x:v>
      </x:c>
      <x:c r="F18" s="24" t="n">
        <x:f>IF(F$11&lt;&gt;"Valid","n.a.",F17*F7)</x:f>
        <x:v>1697.6488637463872</x:v>
      </x:c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 t="str">
        <x:v>Variable delivery costs</x:v>
      </x:c>
      <x:c r="D19" s="19" t="n">
        <x:v>0</x:v>
      </x:c>
      <x:c r="E19" s="24" t="n">
        <x:f>IF(E$11&lt;&gt;"Valid","n.a.",E6*E8)</x:f>
        <x:v>500</x:v>
      </x:c>
      <x:c r="F19" s="24" t="n">
        <x:f>IF(F$11&lt;&gt;"Valid","n.a.",F6*F8)</x:f>
        <x:v>500</x:v>
      </x:c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 t="str">
        <x:v>Fixed incremental costs</x:v>
      </x:c>
      <x:c r="D20" s="19" t="n">
        <x:v>0</x:v>
      </x:c>
      <x:c r="E20" s="24" t="n">
        <x:f>IF(E$11&lt;&gt;"Valid","n.a.",E9)</x:f>
        <x:v>500</x:v>
      </x:c>
      <x:c r="F20" s="24" t="n">
        <x:f>IF(F$11&lt;&gt;"Valid","n.a.",F9)</x:f>
        <x:v>500</x:v>
      </x:c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38" t="str">
        <x:v>Total incremental costs</x:v>
      </x:c>
      <x:c r="D21" s="39" t="n">
        <x:v>0</x:v>
      </x:c>
      <x:c r="E21" s="40" t="n">
        <x:f>IF(E$11&lt;&gt;"Valid","n.a.",SUM(E19:E20))</x:f>
        <x:v>1000</x:v>
      </x:c>
      <x:c r="F21" s="40" t="n">
        <x:f>IF(F$11&lt;&gt;"Valid","n.a.",SUM(F19:F20))</x:f>
        <x:v>1000</x:v>
      </x:c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38" t="str">
        <x:v>Net campaign contribution</x:v>
      </x:c>
      <x:c r="D22" s="39" t="n">
        <x:v>0</x:v>
      </x:c>
      <x:c r="E22" s="40" t="n">
        <x:f>IF(E$11&lt;&gt;"Valid","n.a.",E18-E21)</x:f>
        <x:v>2079.308623578147</x:v>
      </x:c>
      <x:c r="F22" s="40" t="n">
        <x:f>IF(F$11&lt;&gt;"Valid","n.a.",F18-F21)</x:f>
        <x:v>697.6488637463872</x:v>
      </x:c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 t="str">
        <x:v>Conditional lower net value</x:v>
      </x:c>
      <x:c r="D23" s="19" t="n">
        <x:v>0</x:v>
      </x:c>
      <x:c r="E23" s="24" t="n">
        <x:f>IF(E$11&lt;&gt;"Valid","n.a.",E6*E10*E7*E13-E21)</x:f>
        <x:v>955.3758024080967</x:v>
      </x:c>
      <x:c r="F23" s="24" t="n">
        <x:f>IF(F$11&lt;&gt;"Valid","n.a.",F6*F10*F7*F13-F21)</x:f>
        <x:v>-323.86370289423166</x:v>
      </x:c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 t="str">
        <x:v>Conditional upper net value</x:v>
      </x:c>
      <x:c r="D24" s="19" t="n">
        <x:v>0</x:v>
      </x:c>
      <x:c r="E24" s="24" t="n">
        <x:f>IF(E$11&lt;&gt;"Valid","n.a.",E6*E10*E7*E14-E21)</x:f>
        <x:v>3229.096658824553</x:v>
      </x:c>
      <x:c r="F24" s="24" t="n">
        <x:f>IF(F$11&lt;&gt;"Valid","n.a.",F6*F10*F7*F14-F21)</x:f>
        <x:v>1723.8163008827014</x:v>
      </x:c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9"/>
      <x:c r="E25" s="19"/>
      <x:c r="F25" s="19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 t="str">
        <x:v>Break-even effective uplift</x:v>
      </x:c>
      <x:c r="D26" s="20" t="str">
        <x:v>n.a.</x:v>
      </x:c>
      <x:c r="E26" s="29" t="n">
        <x:f>IF(E$11&lt;&gt;"Valid","n.a.",IF(E6*E7&gt;0,E21/(E6*E7),"n.a."))</x:f>
        <x:v>0.25</x:v>
      </x:c>
      <x:c r="F26" s="29" t="n">
        <x:f>IF(F$11&lt;&gt;"Valid","n.a.",IF(F6*F7&gt;0,F21/(F6*F7),"n.a."))</x:f>
        <x:v>0.25</x:v>
      </x:c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 t="str">
        <x:v>Break-even margin</x:v>
      </x:c>
      <x:c r="D27" s="30" t="str">
        <x:v>n.a.</x:v>
      </x:c>
      <x:c r="E27" s="31" t="n">
        <x:f>IF(E$11&lt;&gt;"Valid","n.a.",IF(E17&gt;0,E21/E17,"n.a."))</x:f>
        <x:v>0.12989928873553483</x:v>
      </x:c>
      <x:c r="F27" s="31" t="n">
        <x:f>IF(F$11&lt;&gt;"Valid","n.a.",IF(F17&gt;0,F21/F17,"n.a."))</x:f>
        <x:v>0.2356199851112181</x:v>
      </x:c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 t="str">
        <x:v>Maximum delivery cost</x:v>
      </x:c>
      <x:c r="D28" s="20" t="str">
        <x:v>n.a.</x:v>
      </x:c>
      <x:c r="E28" s="29" t="n">
        <x:f>IF(E$11&lt;&gt;"Valid","n.a.",IF(E6&gt;0,E16*E7-E9/E6,"n.a."))</x:f>
        <x:v>0.25793086235781476</x:v>
      </x:c>
      <x:c r="F28" s="29" t="n">
        <x:f>IF(F$11&lt;&gt;"Valid","n.a.",IF(F6&gt;0,F16*F7-F9/F6,"n.a."))</x:f>
        <x:v>0.11976488637463871</x:v>
      </x:c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 t="str">
        <x:v>Net return / incremental cost</x:v>
      </x:c>
      <x:c r="D29" s="30" t="str">
        <x:v>n.a.</x:v>
      </x:c>
      <x:c r="E29" s="31" t="n">
        <x:f>IF(E$11&lt;&gt;"Valid","n.a.",IF(E21&gt;0,E22/E21,"n.a."))</x:f>
        <x:v>2.079308623578147</x:v>
      </x:c>
      <x:c r="F29" s="31" t="n">
        <x:f>IF(F$11&lt;&gt;"Valid","n.a.",IF(F21&gt;0,F22/F21,"n.a."))</x:f>
        <x:v>0.6976488637463871</x:v>
      </x:c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 t="str">
        <x:v>Scenario classification</x:v>
      </x:c>
      <x:c r="D30" s="19" t="str">
        <x:v>incremental baseline</x:v>
      </x:c>
      <x:c r="E30" s="24" t="str">
        <x:f>IF(E$11&lt;&gt;"Valid","n.a.",IF(ABS(E22)&lt;=0.000000001,"break-even",IF(E22&gt;0,"favorable","unfavorable")))</x:f>
        <x:v>favorable</x:v>
      </x:c>
      <x:c r="F30" s="24" t="str">
        <x:f>IF(F$11&lt;&gt;"Valid","n.a.",IF(ABS(F22)&lt;=0.000000001,"break-even",IF(F22&gt;0,"favorable","unfavorable")))</x:f>
        <x:v>favorable</x:v>
      </x:c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42" customHeight="1">
      <x:c r="A33" s="1"/>
      <x:c r="B33" s="1"/>
      <x:c r="C33" s="5" t="str">
        <x:v>Break-even uplift is the required effective revenue/customer after the multiplier. A margin threshold above 100% is infeasible. A negative affordable cost means free delivery still fails to cover setup.</x:v>
      </x:c>
      <x:c r="D33" s="5"/>
      <x:c r="E33" s="5"/>
      <x:c r="F33" s="5"/>
      <x:c r="G33" s="5"/>
      <x:c r="H33" s="5"/>
      <x:c r="I33" s="5"/>
      <x:c r="J33" s="5"/>
      <x:c r="K33" s="5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42" customHeight="1">
      <x:c r="A36" s="1"/>
      <x:c r="B36" s="1"/>
      <x:c r="C36" s="5" t="str">
        <x:v>Undefined thresholds are n.a. Zero audience does not cancel setup costs. Negative uplift has no positive-margin break-even threshold under nonnegative costs.</x:v>
      </x:c>
      <x:c r="D36" s="5"/>
      <x:c r="E36" s="5"/>
      <x:c r="F36" s="5"/>
      <x:c r="G36" s="5"/>
      <x:c r="H36" s="5"/>
      <x:c r="I36" s="5"/>
      <x:c r="J36" s="5"/>
      <x:c r="K36" s="5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C2:K2"/>
    <x:mergeCell ref="C4:K4"/>
    <x:mergeCell ref="C33:K33"/>
    <x:mergeCell ref="C36:K36"/>
  </x:mergeCells>
  <x:conditionalFormatting sqref="D22:F24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8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6" customHeight="1">
      <x:c r="A2" s="1"/>
      <x:c r="B2" s="1"/>
      <x:c r="C2" s="3" t="str">
        <x:v>Sensitivity Analysis</x:v>
      </x:c>
      <x:c r="D2" s="3"/>
      <x:c r="E2" s="3"/>
      <x:c r="F2" s="3"/>
      <x:c r="G2" s="3"/>
      <x:c r="H2" s="3"/>
      <x:c r="I2" s="3"/>
      <x:c r="J2" s="3"/>
      <x:c r="K2" s="3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1"/>
      <x:c r="B4" s="1"/>
      <x:c r="C4" s="5" t="str">
        <x:v>One driver varies at a time; other inputs remain linked to Scenario Inputs. Simple affine formulas are used, not native What-If Data Tables.</x:v>
      </x:c>
      <x:c r="D4" s="5"/>
      <x:c r="E4" s="5"/>
      <x:c r="F4" s="5"/>
      <x:c r="G4" s="5"/>
      <x:c r="H4" s="5"/>
      <x:c r="I4" s="5"/>
      <x:c r="J4" s="5"/>
      <x:c r="K4" s="5"/>
      <x:c r="L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6" customHeight="1">
      <x:c r="A6" s="1"/>
      <x:c r="B6" s="1"/>
      <x:c r="C6" s="9" t="str">
        <x:v>Margin</x:v>
      </x:c>
      <x:c r="D6" s="9" t="str">
        <x:v>Men's email net ($)</x:v>
      </x:c>
      <x:c r="E6" s="9" t="str">
        <x:v>Women's email net ($)</x:v>
      </x:c>
      <x:c r="F6" s="9" t="str">
        <x:v>Control net ($)</x:v>
      </x:c>
      <x:c r="G6" s="1"/>
      <x:c r="H6" s="1"/>
      <x:c r="I6" s="1"/>
      <x:c r="J6" s="1"/>
      <x:c r="K6" s="1"/>
      <x:c r="L6" s="1"/>
    </x:row>
    <x:row r="7" ht="24" customHeight="1">
      <x:c r="A7" s="1"/>
      <x:c r="B7" s="1"/>
      <x:c r="C7" s="30" t="n">
        <x:v>0</x:v>
      </x:c>
      <x:c r="D7" s="23" t="n">
        <x:f>IF('Revenue &amp; Contribution'!E$11&lt;&gt;"Valid","n.a.",'Revenue &amp; Contribution'!E$6*'Revenue &amp; Contribution'!E$16*$C7-'Revenue &amp; Contribution'!E$6*'Revenue &amp; Contribution'!E$8-'Revenue &amp; Contribution'!E$9)</x:f>
        <x:v>-1000</x:v>
      </x:c>
      <x:c r="E7" s="23" t="n">
        <x:f>IF('Revenue &amp; Contribution'!F$11&lt;&gt;"Valid","n.a.",'Revenue &amp; Contribution'!F$6*'Revenue &amp; Contribution'!F$16*$C7-'Revenue &amp; Contribution'!F$6*'Revenue &amp; Contribution'!F$8-'Revenue &amp; Contribution'!F$9)</x:f>
        <x:v>-1000</x:v>
      </x:c>
      <x:c r="F7" s="19" t="n">
        <x:v>0</x:v>
      </x:c>
      <x:c r="G7" s="1"/>
      <x:c r="H7" s="1"/>
      <x:c r="I7" s="1"/>
      <x:c r="J7" s="1"/>
      <x:c r="K7" s="1"/>
      <x:c r="L7" s="1"/>
    </x:row>
    <x:row r="8" ht="24" customHeight="1">
      <x:c r="A8" s="1"/>
      <x:c r="B8" s="1"/>
      <x:c r="C8" s="30" t="n">
        <x:v>0.2</x:v>
      </x:c>
      <x:c r="D8" s="23" t="n">
        <x:f>IF('Revenue &amp; Contribution'!E$11&lt;&gt;"Valid","n.a.",'Revenue &amp; Contribution'!E$6*'Revenue &amp; Contribution'!E$16*$C8-'Revenue &amp; Contribution'!E$6*'Revenue &amp; Contribution'!E$8-'Revenue &amp; Contribution'!E$9)</x:f>
        <x:v>539.6543117890735</x:v>
      </x:c>
      <x:c r="E8" s="23" t="n">
        <x:f>IF('Revenue &amp; Contribution'!F$11&lt;&gt;"Valid","n.a.",'Revenue &amp; Contribution'!F$6*'Revenue &amp; Contribution'!F$16*$C8-'Revenue &amp; Contribution'!F$6*'Revenue &amp; Contribution'!F$8-'Revenue &amp; Contribution'!F$9)</x:f>
        <x:v>-151.1755681268064</x:v>
      </x:c>
      <x:c r="F8" s="19" t="n">
        <x:v>0</x:v>
      </x:c>
      <x:c r="G8" s="1"/>
      <x:c r="H8" s="1"/>
      <x:c r="I8" s="1"/>
      <x:c r="J8" s="1"/>
      <x:c r="K8" s="1"/>
      <x:c r="L8" s="1"/>
    </x:row>
    <x:row r="9" ht="24" customHeight="1">
      <x:c r="A9" s="1"/>
      <x:c r="B9" s="1"/>
      <x:c r="C9" s="30" t="n">
        <x:v>0.4</x:v>
      </x:c>
      <x:c r="D9" s="23" t="n">
        <x:f>IF('Revenue &amp; Contribution'!E$11&lt;&gt;"Valid","n.a.",'Revenue &amp; Contribution'!E$6*'Revenue &amp; Contribution'!E$16*$C9-'Revenue &amp; Contribution'!E$6*'Revenue &amp; Contribution'!E$8-'Revenue &amp; Contribution'!E$9)</x:f>
        <x:v>2079.308623578147</x:v>
      </x:c>
      <x:c r="E9" s="23" t="n">
        <x:f>IF('Revenue &amp; Contribution'!F$11&lt;&gt;"Valid","n.a.",'Revenue &amp; Contribution'!F$6*'Revenue &amp; Contribution'!F$16*$C9-'Revenue &amp; Contribution'!F$6*'Revenue &amp; Contribution'!F$8-'Revenue &amp; Contribution'!F$9)</x:f>
        <x:v>697.6488637463872</x:v>
      </x:c>
      <x:c r="F9" s="19" t="n">
        <x:v>0</x:v>
      </x:c>
      <x:c r="G9" s="1"/>
      <x:c r="H9" s="1"/>
      <x:c r="I9" s="1"/>
      <x:c r="J9" s="1"/>
      <x:c r="K9" s="1"/>
      <x:c r="L9" s="1"/>
    </x:row>
    <x:row r="10" ht="24" customHeight="1">
      <x:c r="A10" s="1"/>
      <x:c r="B10" s="1"/>
      <x:c r="C10" s="30" t="n">
        <x:v>0.6</x:v>
      </x:c>
      <x:c r="D10" s="23" t="n">
        <x:f>IF('Revenue &amp; Contribution'!E$11&lt;&gt;"Valid","n.a.",'Revenue &amp; Contribution'!E$6*'Revenue &amp; Contribution'!E$16*$C10-'Revenue &amp; Contribution'!E$6*'Revenue &amp; Contribution'!E$8-'Revenue &amp; Contribution'!E$9)</x:f>
        <x:v>3618.96293536722</x:v>
      </x:c>
      <x:c r="E10" s="23" t="n">
        <x:f>IF('Revenue &amp; Contribution'!F$11&lt;&gt;"Valid","n.a.",'Revenue &amp; Contribution'!F$6*'Revenue &amp; Contribution'!F$16*$C10-'Revenue &amp; Contribution'!F$6*'Revenue &amp; Contribution'!F$8-'Revenue &amp; Contribution'!F$9)</x:f>
        <x:v>1546.4732956195803</x:v>
      </x:c>
      <x:c r="F10" s="19" t="n">
        <x:v>0</x:v>
      </x:c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30" t="n">
        <x:v>0.8</x:v>
      </x:c>
      <x:c r="D11" s="23" t="n">
        <x:f>IF('Revenue &amp; Contribution'!E$11&lt;&gt;"Valid","n.a.",'Revenue &amp; Contribution'!E$6*'Revenue &amp; Contribution'!E$16*$C11-'Revenue &amp; Contribution'!E$6*'Revenue &amp; Contribution'!E$8-'Revenue &amp; Contribution'!E$9)</x:f>
        <x:v>5158.617247156294</x:v>
      </x:c>
      <x:c r="E11" s="23" t="n">
        <x:f>IF('Revenue &amp; Contribution'!F$11&lt;&gt;"Valid","n.a.",'Revenue &amp; Contribution'!F$6*'Revenue &amp; Contribution'!F$16*$C11-'Revenue &amp; Contribution'!F$6*'Revenue &amp; Contribution'!F$8-'Revenue &amp; Contribution'!F$9)</x:f>
        <x:v>2395.2977274927744</x:v>
      </x:c>
      <x:c r="F11" s="19" t="n">
        <x:v>0</x:v>
      </x:c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30" t="n">
        <x:v>1</x:v>
      </x:c>
      <x:c r="D12" s="23" t="n">
        <x:f>IF('Revenue &amp; Contribution'!E$11&lt;&gt;"Valid","n.a.",'Revenue &amp; Contribution'!E$6*'Revenue &amp; Contribution'!E$16*$C12-'Revenue &amp; Contribution'!E$6*'Revenue &amp; Contribution'!E$8-'Revenue &amp; Contribution'!E$9)</x:f>
        <x:v>6698.271558945367</x:v>
      </x:c>
      <x:c r="E12" s="23" t="n">
        <x:f>IF('Revenue &amp; Contribution'!F$11&lt;&gt;"Valid","n.a.",'Revenue &amp; Contribution'!F$6*'Revenue &amp; Contribution'!F$16*$C12-'Revenue &amp; Contribution'!F$6*'Revenue &amp; Contribution'!F$8-'Revenue &amp; Contribution'!F$9)</x:f>
        <x:v>3244.1221593659675</x:v>
      </x:c>
      <x:c r="F12" s="19" t="n">
        <x:v>0</x:v>
      </x:c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36" customHeight="1">
      <x:c r="A18" s="1"/>
      <x:c r="B18" s="1"/>
      <x:c r="C18" s="9" t="str">
        <x:v>Delivery cost</x:v>
      </x:c>
      <x:c r="D18" s="9" t="str">
        <x:v>Men's email net ($)</x:v>
      </x:c>
      <x:c r="E18" s="9" t="str">
        <x:v>Women's email net ($)</x:v>
      </x:c>
      <x:c r="F18" s="9" t="str">
        <x:v>Control net ($)</x:v>
      </x:c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9" t="n">
        <x:v>0</x:v>
      </x:c>
      <x:c r="D19" s="23" t="n">
        <x:f>IF('Revenue &amp; Contribution'!E$11&lt;&gt;"Valid","n.a.",'Revenue &amp; Contribution'!E$6*'Revenue &amp; Contribution'!E$16*'Revenue &amp; Contribution'!E$7-'Revenue &amp; Contribution'!E$6*$C19-'Revenue &amp; Contribution'!E$9)</x:f>
        <x:v>2579.308623578147</x:v>
      </x:c>
      <x:c r="E19" s="23" t="n">
        <x:f>IF('Revenue &amp; Contribution'!F$11&lt;&gt;"Valid","n.a.",'Revenue &amp; Contribution'!F$6*'Revenue &amp; Contribution'!F$16*'Revenue &amp; Contribution'!F$7-'Revenue &amp; Contribution'!F$6*$C19-'Revenue &amp; Contribution'!F$9)</x:f>
        <x:v>1197.6488637463872</x:v>
      </x:c>
      <x:c r="F19" s="19" t="n">
        <x:v>0</x:v>
      </x:c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9" t="n">
        <x:v>0.02</x:v>
      </x:c>
      <x:c r="D20" s="23" t="n">
        <x:f>IF('Revenue &amp; Contribution'!E$11&lt;&gt;"Valid","n.a.",'Revenue &amp; Contribution'!E$6*'Revenue &amp; Contribution'!E$16*'Revenue &amp; Contribution'!E$7-'Revenue &amp; Contribution'!E$6*$C20-'Revenue &amp; Contribution'!E$9)</x:f>
        <x:v>2379.308623578147</x:v>
      </x:c>
      <x:c r="E20" s="23" t="n">
        <x:f>IF('Revenue &amp; Contribution'!F$11&lt;&gt;"Valid","n.a.",'Revenue &amp; Contribution'!F$6*'Revenue &amp; Contribution'!F$16*'Revenue &amp; Contribution'!F$7-'Revenue &amp; Contribution'!F$6*$C20-'Revenue &amp; Contribution'!F$9)</x:f>
        <x:v>997.6488637463872</x:v>
      </x:c>
      <x:c r="F20" s="19" t="n">
        <x:v>0</x:v>
      </x:c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9" t="n">
        <x:v>0.05</x:v>
      </x:c>
      <x:c r="D21" s="23" t="n">
        <x:f>IF('Revenue &amp; Contribution'!E$11&lt;&gt;"Valid","n.a.",'Revenue &amp; Contribution'!E$6*'Revenue &amp; Contribution'!E$16*'Revenue &amp; Contribution'!E$7-'Revenue &amp; Contribution'!E$6*$C21-'Revenue &amp; Contribution'!E$9)</x:f>
        <x:v>2079.308623578147</x:v>
      </x:c>
      <x:c r="E21" s="23" t="n">
        <x:f>IF('Revenue &amp; Contribution'!F$11&lt;&gt;"Valid","n.a.",'Revenue &amp; Contribution'!F$6*'Revenue &amp; Contribution'!F$16*'Revenue &amp; Contribution'!F$7-'Revenue &amp; Contribution'!F$6*$C21-'Revenue &amp; Contribution'!F$9)</x:f>
        <x:v>697.6488637463872</x:v>
      </x:c>
      <x:c r="F21" s="19" t="n">
        <x:v>0</x:v>
      </x:c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9" t="n">
        <x:v>0.1</x:v>
      </x:c>
      <x:c r="D22" s="23" t="n">
        <x:f>IF('Revenue &amp; Contribution'!E$11&lt;&gt;"Valid","n.a.",'Revenue &amp; Contribution'!E$6*'Revenue &amp; Contribution'!E$16*'Revenue &amp; Contribution'!E$7-'Revenue &amp; Contribution'!E$6*$C22-'Revenue &amp; Contribution'!E$9)</x:f>
        <x:v>1579.308623578147</x:v>
      </x:c>
      <x:c r="E22" s="23" t="n">
        <x:f>IF('Revenue &amp; Contribution'!F$11&lt;&gt;"Valid","n.a.",'Revenue &amp; Contribution'!F$6*'Revenue &amp; Contribution'!F$16*'Revenue &amp; Contribution'!F$7-'Revenue &amp; Contribution'!F$6*$C22-'Revenue &amp; Contribution'!F$9)</x:f>
        <x:v>197.64886374638718</x:v>
      </x:c>
      <x:c r="F22" s="19" t="n">
        <x:v>0</x:v>
      </x:c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9" t="n">
        <x:v>0.2</x:v>
      </x:c>
      <x:c r="D23" s="23" t="n">
        <x:f>IF('Revenue &amp; Contribution'!E$11&lt;&gt;"Valid","n.a.",'Revenue &amp; Contribution'!E$6*'Revenue &amp; Contribution'!E$16*'Revenue &amp; Contribution'!E$7-'Revenue &amp; Contribution'!E$6*$C23-'Revenue &amp; Contribution'!E$9)</x:f>
        <x:v>579.308623578147</x:v>
      </x:c>
      <x:c r="E23" s="23" t="n">
        <x:f>IF('Revenue &amp; Contribution'!F$11&lt;&gt;"Valid","n.a.",'Revenue &amp; Contribution'!F$6*'Revenue &amp; Contribution'!F$16*'Revenue &amp; Contribution'!F$7-'Revenue &amp; Contribution'!F$6*$C23-'Revenue &amp; Contribution'!F$9)</x:f>
        <x:v>-802.3511362536128</x:v>
      </x:c>
      <x:c r="F23" s="19" t="n">
        <x:v>0</x:v>
      </x:c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9" t="n">
        <x:v>0.3</x:v>
      </x:c>
      <x:c r="D24" s="23" t="n">
        <x:f>IF('Revenue &amp; Contribution'!E$11&lt;&gt;"Valid","n.a.",'Revenue &amp; Contribution'!E$6*'Revenue &amp; Contribution'!E$16*'Revenue &amp; Contribution'!E$7-'Revenue &amp; Contribution'!E$6*$C24-'Revenue &amp; Contribution'!E$9)</x:f>
        <x:v>-420.69137642185296</x:v>
      </x:c>
      <x:c r="E24" s="23" t="n">
        <x:f>IF('Revenue &amp; Contribution'!F$11&lt;&gt;"Valid","n.a.",'Revenue &amp; Contribution'!F$6*'Revenue &amp; Contribution'!F$16*'Revenue &amp; Contribution'!F$7-'Revenue &amp; Contribution'!F$6*$C24-'Revenue &amp; Contribution'!F$9)</x:f>
        <x:v>-1802.3511362536128</x:v>
      </x:c>
      <x:c r="F24" s="19" t="n">
        <x:v>0</x:v>
      </x:c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9" t="n">
        <x:v>0.5</x:v>
      </x:c>
      <x:c r="D25" s="23" t="n">
        <x:f>IF('Revenue &amp; Contribution'!E$11&lt;&gt;"Valid","n.a.",'Revenue &amp; Contribution'!E$6*'Revenue &amp; Contribution'!E$16*'Revenue &amp; Contribution'!E$7-'Revenue &amp; Contribution'!E$6*$C25-'Revenue &amp; Contribution'!E$9)</x:f>
        <x:v>-2420.691376421853</x:v>
      </x:c>
      <x:c r="E25" s="23" t="n">
        <x:f>IF('Revenue &amp; Contribution'!F$11&lt;&gt;"Valid","n.a.",'Revenue &amp; Contribution'!F$6*'Revenue &amp; Contribution'!F$16*'Revenue &amp; Contribution'!F$7-'Revenue &amp; Contribution'!F$6*$C25-'Revenue &amp; Contribution'!F$9)</x:f>
        <x:v>-3802.351136253613</x:v>
      </x:c>
      <x:c r="F25" s="19" t="n">
        <x:v>0</x:v>
      </x:c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9" t="n">
        <x:v>1</x:v>
      </x:c>
      <x:c r="D26" s="23" t="n">
        <x:f>IF('Revenue &amp; Contribution'!E$11&lt;&gt;"Valid","n.a.",'Revenue &amp; Contribution'!E$6*'Revenue &amp; Contribution'!E$16*'Revenue &amp; Contribution'!E$7-'Revenue &amp; Contribution'!E$6*$C26-'Revenue &amp; Contribution'!E$9)</x:f>
        <x:v>-7420.691376421853</x:v>
      </x:c>
      <x:c r="E26" s="23" t="n">
        <x:f>IF('Revenue &amp; Contribution'!F$11&lt;&gt;"Valid","n.a.",'Revenue &amp; Contribution'!F$6*'Revenue &amp; Contribution'!F$16*'Revenue &amp; Contribution'!F$7-'Revenue &amp; Contribution'!F$6*$C26-'Revenue &amp; Contribution'!F$9)</x:f>
        <x:v>-8802.351136253612</x:v>
      </x:c>
      <x:c r="F26" s="19" t="n">
        <x:v>0</x:v>
      </x:c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36" customHeight="1">
      <x:c r="A30" s="1"/>
      <x:c r="B30" s="1"/>
      <x:c r="C30" s="9" t="str">
        <x:v>Audience</x:v>
      </x:c>
      <x:c r="D30" s="9" t="str">
        <x:v>Men's email net ($)</x:v>
      </x:c>
      <x:c r="E30" s="9" t="str">
        <x:v>Women's email net ($)</x:v>
      </x:c>
      <x:c r="F30" s="9" t="str">
        <x:v>Control net ($)</x:v>
      </x:c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7" t="n">
        <x:v>0</x:v>
      </x:c>
      <x:c r="D31" s="23" t="n">
        <x:f>IF('Revenue &amp; Contribution'!E$11&lt;&gt;"Valid","n.a.",$C31*'Revenue &amp; Contribution'!E$16*'Revenue &amp; Contribution'!E$7-$C31*'Revenue &amp; Contribution'!E$8-'Revenue &amp; Contribution'!E$9)</x:f>
        <x:v>-500</x:v>
      </x:c>
      <x:c r="E31" s="23" t="n">
        <x:f>IF('Revenue &amp; Contribution'!F$11&lt;&gt;"Valid","n.a.",$C31*'Revenue &amp; Contribution'!F$16*'Revenue &amp; Contribution'!F$7-$C31*'Revenue &amp; Contribution'!F$8-'Revenue &amp; Contribution'!F$9)</x:f>
        <x:v>-500</x:v>
      </x:c>
      <x:c r="F31" s="19" t="n">
        <x:v>0</x:v>
      </x:c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7" t="n">
        <x:v>1000</x:v>
      </x:c>
      <x:c r="D32" s="23" t="n">
        <x:f>IF('Revenue &amp; Contribution'!E$11&lt;&gt;"Valid","n.a.",$C32*'Revenue &amp; Contribution'!E$16*'Revenue &amp; Contribution'!E$7-$C32*'Revenue &amp; Contribution'!E$8-'Revenue &amp; Contribution'!E$9)</x:f>
        <x:v>-242.0691376421853</x:v>
      </x:c>
      <x:c r="E32" s="23" t="n">
        <x:f>IF('Revenue &amp; Contribution'!F$11&lt;&gt;"Valid","n.a.",$C32*'Revenue &amp; Contribution'!F$16*'Revenue &amp; Contribution'!F$7-$C32*'Revenue &amp; Contribution'!F$8-'Revenue &amp; Contribution'!F$9)</x:f>
        <x:v>-380.2351136253613</x:v>
      </x:c>
      <x:c r="F32" s="19" t="n">
        <x:v>0</x:v>
      </x:c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7" t="n">
        <x:v>5000</x:v>
      </x:c>
      <x:c r="D33" s="23" t="n">
        <x:f>IF('Revenue &amp; Contribution'!E$11&lt;&gt;"Valid","n.a.",$C33*'Revenue &amp; Contribution'!E$16*'Revenue &amp; Contribution'!E$7-$C33*'Revenue &amp; Contribution'!E$8-'Revenue &amp; Contribution'!E$9)</x:f>
        <x:v>789.6543117890735</x:v>
      </x:c>
      <x:c r="E33" s="23" t="n">
        <x:f>IF('Revenue &amp; Contribution'!F$11&lt;&gt;"Valid","n.a.",$C33*'Revenue &amp; Contribution'!F$16*'Revenue &amp; Contribution'!F$7-$C33*'Revenue &amp; Contribution'!F$8-'Revenue &amp; Contribution'!F$9)</x:f>
        <x:v>98.82443187319359</x:v>
      </x:c>
      <x:c r="F33" s="19" t="n">
        <x:v>0</x:v>
      </x:c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7" t="n">
        <x:v>10000</x:v>
      </x:c>
      <x:c r="D34" s="23" t="n">
        <x:f>IF('Revenue &amp; Contribution'!E$11&lt;&gt;"Valid","n.a.",$C34*'Revenue &amp; Contribution'!E$16*'Revenue &amp; Contribution'!E$7-$C34*'Revenue &amp; Contribution'!E$8-'Revenue &amp; Contribution'!E$9)</x:f>
        <x:v>2079.308623578147</x:v>
      </x:c>
      <x:c r="E34" s="23" t="n">
        <x:f>IF('Revenue &amp; Contribution'!F$11&lt;&gt;"Valid","n.a.",$C34*'Revenue &amp; Contribution'!F$16*'Revenue &amp; Contribution'!F$7-$C34*'Revenue &amp; Contribution'!F$8-'Revenue &amp; Contribution'!F$9)</x:f>
        <x:v>697.6488637463872</x:v>
      </x:c>
      <x:c r="F34" s="19" t="n">
        <x:v>0</x:v>
      </x:c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7" t="n">
        <x:v>25000</x:v>
      </x:c>
      <x:c r="D35" s="23" t="n">
        <x:f>IF('Revenue &amp; Contribution'!E$11&lt;&gt;"Valid","n.a.",$C35*'Revenue &amp; Contribution'!E$16*'Revenue &amp; Contribution'!E$7-$C35*'Revenue &amp; Contribution'!E$8-'Revenue &amp; Contribution'!E$9)</x:f>
        <x:v>5948.271558945367</x:v>
      </x:c>
      <x:c r="E35" s="23" t="n">
        <x:f>IF('Revenue &amp; Contribution'!F$11&lt;&gt;"Valid","n.a.",$C35*'Revenue &amp; Contribution'!F$16*'Revenue &amp; Contribution'!F$7-$C35*'Revenue &amp; Contribution'!F$8-'Revenue &amp; Contribution'!F$9)</x:f>
        <x:v>2494.1221593659675</x:v>
      </x:c>
      <x:c r="F35" s="19" t="n">
        <x:v>0</x:v>
      </x:c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7" t="n">
        <x:v>50000</x:v>
      </x:c>
      <x:c r="D36" s="23" t="n">
        <x:f>IF('Revenue &amp; Contribution'!E$11&lt;&gt;"Valid","n.a.",$C36*'Revenue &amp; Contribution'!E$16*'Revenue &amp; Contribution'!E$7-$C36*'Revenue &amp; Contribution'!E$8-'Revenue &amp; Contribution'!E$9)</x:f>
        <x:v>12396.543117890735</x:v>
      </x:c>
      <x:c r="E36" s="23" t="n">
        <x:f>IF('Revenue &amp; Contribution'!F$11&lt;&gt;"Valid","n.a.",$C36*'Revenue &amp; Contribution'!F$16*'Revenue &amp; Contribution'!F$7-$C36*'Revenue &amp; Contribution'!F$8-'Revenue &amp; Contribution'!F$9)</x:f>
        <x:v>5488.244318731935</x:v>
      </x:c>
      <x:c r="F36" s="19" t="n">
        <x:v>0</x:v>
      </x:c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7" t="n">
        <x:v>100000</x:v>
      </x:c>
      <x:c r="D37" s="23" t="n">
        <x:f>IF('Revenue &amp; Contribution'!E$11&lt;&gt;"Valid","n.a.",$C37*'Revenue &amp; Contribution'!E$16*'Revenue &amp; Contribution'!E$7-$C37*'Revenue &amp; Contribution'!E$8-'Revenue &amp; Contribution'!E$9)</x:f>
        <x:v>25293.08623578147</x:v>
      </x:c>
      <x:c r="E37" s="23" t="n">
        <x:f>IF('Revenue &amp; Contribution'!F$11&lt;&gt;"Valid","n.a.",$C37*'Revenue &amp; Contribution'!F$16*'Revenue &amp; Contribution'!F$7-$C37*'Revenue &amp; Contribution'!F$8-'Revenue &amp; Contribution'!F$9)</x:f>
        <x:v>11476.48863746387</x:v>
      </x:c>
      <x:c r="F37" s="19" t="n">
        <x:v>0</x:v>
      </x:c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C2:K2"/>
    <x:mergeCell ref="C4:K4"/>
  </x:mergeCells>
  <x:pageMargins left="0.7" right="0.7" top="0.75" bottom="0.75" header="0.3" footer="0.3"/>
  <x:drawing xmlns:r="http://schemas.openxmlformats.org/officeDocument/2006/relationships" r:id="Rc968231c873c4abd"/>
</x:worksheet>
</file>

<file path=xl/worksheets/sheet5.xml><?xml version="1.0" encoding="utf-8"?>
<x:worksheet xmlns:x="http://schemas.openxmlformats.org/spreadsheetml/2006/main">
  <x:sheetPr>
    <x:tabColor rgb="FF1836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6" customHeight="1">
      <x:c r="A2" s="1"/>
      <x:c r="B2" s="1"/>
      <x:c r="C2" s="3" t="str">
        <x:v>Experiment Results</x:v>
      </x:c>
      <x:c r="D2" s="3"/>
      <x:c r="E2" s="3"/>
      <x:c r="F2" s="3"/>
      <x:c r="G2" s="3"/>
      <x:c r="H2" s="3"/>
      <x:c r="I2" s="3"/>
      <x:c r="J2" s="3"/>
      <x:c r="K2" s="3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1"/>
      <x:c r="B4" s="1"/>
      <x:c r="C4" s="5" t="str">
        <x:v>Source: Kevin Hillstrom, MineThatData randomized email challenge (2008). Two-week outcomes. Original URL and checksum are in Dictionary &amp; Methodology.</x:v>
      </x:c>
      <x:c r="D4" s="5"/>
      <x:c r="E4" s="5"/>
      <x:c r="F4" s="5"/>
      <x:c r="G4" s="5"/>
      <x:c r="H4" s="5"/>
      <x:c r="I4" s="5"/>
      <x:c r="J4" s="5"/>
      <x:c r="K4" s="5"/>
      <x:c r="L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6" customHeight="1">
      <x:c r="A6" s="1"/>
      <x:c r="B6" s="1"/>
      <x:c r="C6" s="9" t="str">
        <x:v>Arm</x:v>
      </x:c>
      <x:c r="D6" s="9" t="str">
        <x:v>Assigned</x:v>
      </x:c>
      <x:c r="E6" s="9" t="str">
        <x:v>Conversions</x:v>
      </x:c>
      <x:c r="F6" s="9" t="str">
        <x:v>Conversion rate</x:v>
      </x:c>
      <x:c r="G6" s="9" t="str">
        <x:v>Visitors</x:v>
      </x:c>
      <x:c r="H6" s="9" t="str">
        <x:v>Visit rate</x:v>
      </x:c>
      <x:c r="I6" s="9" t="str">
        <x:v>Observed spend ($)</x:v>
      </x:c>
      <x:c r="J6" s="9" t="str">
        <x:v>Spend/customer ($)</x:v>
      </x:c>
      <x:c r="K6" s="1"/>
      <x:c r="L6" s="1"/>
    </x:row>
    <x:row r="7" ht="24" customHeight="1">
      <x:c r="A7" s="1"/>
      <x:c r="B7" s="1"/>
      <x:c r="C7" s="1" t="str">
        <x:v>Control</x:v>
      </x:c>
      <x:c r="D7" s="17" t="n">
        <x:v>21306</x:v>
      </x:c>
      <x:c r="E7" s="17" t="n">
        <x:v>122</x:v>
      </x:c>
      <x:c r="F7" s="18" t="n">
        <x:v>0.0057260865483901</x:v>
      </x:c>
      <x:c r="G7" s="17" t="n">
        <x:v>2262</x:v>
      </x:c>
      <x:c r="H7" s="18" t="n">
        <x:v>0.10616727682343</x:v>
      </x:c>
      <x:c r="I7" s="19" t="n">
        <x:v>13908.33</x:v>
      </x:c>
      <x:c r="J7" s="19" t="n">
        <x:v>0.6527893551112363</x:v>
      </x:c>
      <x:c r="K7" s="1"/>
      <x:c r="L7" s="1"/>
    </x:row>
    <x:row r="8" ht="24" customHeight="1">
      <x:c r="A8" s="1"/>
      <x:c r="B8" s="1"/>
      <x:c r="C8" s="1" t="str">
        <x:v>Men's email</x:v>
      </x:c>
      <x:c r="D8" s="17" t="n">
        <x:v>21307</x:v>
      </x:c>
      <x:c r="E8" s="17" t="n">
        <x:v>267</x:v>
      </x:c>
      <x:c r="F8" s="18" t="n">
        <x:v>0.0125310930680058</x:v>
      </x:c>
      <x:c r="G8" s="17" t="n">
        <x:v>3894</x:v>
      </x:c>
      <x:c r="H8" s="18" t="n">
        <x:v>0.1827568404749612</x:v>
      </x:c>
      <x:c r="I8" s="19" t="n">
        <x:v>30311.69</x:v>
      </x:c>
      <x:c r="J8" s="19" t="n">
        <x:v>1.422616511005773</x:v>
      </x:c>
      <x:c r="K8" s="1"/>
      <x:c r="L8" s="1"/>
    </x:row>
    <x:row r="9" ht="24" customHeight="1">
      <x:c r="A9" s="1"/>
      <x:c r="B9" s="1"/>
      <x:c r="C9" s="1" t="str">
        <x:v>Women's email</x:v>
      </x:c>
      <x:c r="D9" s="17" t="n">
        <x:v>21387</x:v>
      </x:c>
      <x:c r="E9" s="17" t="n">
        <x:v>189</x:v>
      </x:c>
      <x:c r="F9" s="18" t="n">
        <x:v>0.0088371440594753</x:v>
      </x:c>
      <x:c r="G9" s="17" t="n">
        <x:v>3238</x:v>
      </x:c>
      <x:c r="H9" s="18" t="n">
        <x:v>0.151400383410483</x:v>
      </x:c>
      <x:c r="I9" s="19" t="n">
        <x:v>23038.11</x:v>
      </x:c>
      <x:c r="J9" s="19" t="n">
        <x:v>1.0772015710478329</x:v>
      </x:c>
      <x:c r="K9" s="1"/>
      <x:c r="L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36" customHeight="1">
      <x:c r="A13" s="1"/>
      <x:c r="B13" s="1"/>
      <x:c r="C13" s="9" t="str">
        <x:v>Contrast vs control</x:v>
      </x:c>
      <x:c r="D13" s="9" t="str">
        <x:v>Revenue effect ($/customer)</x:v>
      </x:c>
      <x:c r="E13" s="9" t="str">
        <x:v>95% lower</x:v>
      </x:c>
      <x:c r="F13" s="9" t="str">
        <x:v>95% upper</x:v>
      </x:c>
      <x:c r="G13" s="9" t="str">
        <x:v>Raw p</x:v>
      </x:c>
      <x:c r="H13" s="9" t="str">
        <x:v>Holm p</x:v>
      </x:c>
      <x:c r="I13" s="1"/>
      <x:c r="J13" s="1"/>
      <x:c r="K13" s="1"/>
      <x:c r="L13" s="1"/>
    </x:row>
    <x:row r="14" ht="24" customHeight="1">
      <x:c r="A14" s="1"/>
      <x:c r="B14" s="1"/>
      <x:c r="C14" s="1" t="str">
        <x:v>Men's email</x:v>
      </x:c>
      <x:c r="D14" s="20" t="n">
        <x:v>0.7698271558945368</x:v>
      </x:c>
      <x:c r="E14" s="20" t="n">
        <x:v>0.4888439506020242</x:v>
      </x:c>
      <x:c r="F14" s="20" t="n">
        <x:v>1.057274164706138</x:v>
      </x:c>
      <x:c r="G14" s="21" t="n">
        <x:v>1.163814968225482e-7</x:v>
      </x:c>
      <x:c r="H14" s="21" t="n">
        <x:v>2.327629936450964e-7</x:v>
      </x:c>
      <x:c r="I14" s="1"/>
      <x:c r="J14" s="1"/>
      <x:c r="K14" s="1"/>
      <x:c r="L14" s="1"/>
    </x:row>
    <x:row r="15" ht="24" customHeight="1">
      <x:c r="A15" s="1"/>
      <x:c r="B15" s="1"/>
      <x:c r="C15" s="1" t="str">
        <x:v>Women's email</x:v>
      </x:c>
      <x:c r="D15" s="20" t="n">
        <x:v>0.4244122159365967</x:v>
      </x:c>
      <x:c r="E15" s="20" t="n">
        <x:v>0.1690340742764421</x:v>
      </x:c>
      <x:c r="F15" s="20" t="n">
        <x:v>0.6809540752206753</x:v>
      </x:c>
      <x:c r="G15" s="21" t="n">
        <x:v>0.0011293971023632</x:v>
      </x:c>
      <x:c r="H15" s="21" t="n">
        <x:v>0.0011293971023632</x:v>
      </x:c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42" customHeight="1">
      <x:c r="A18" s="1"/>
      <x:c r="B18" s="1"/>
      <x:c r="C18" s="5" t="str">
        <x:v>All assigned customers are denominators, including zero outcomes. Total observed revenue is not incremental revenue. CIs are pointwise, not Holm-adjusted.</x:v>
      </x:c>
      <x:c r="D18" s="5"/>
      <x:c r="E18" s="5"/>
      <x:c r="F18" s="5"/>
      <x:c r="G18" s="5"/>
      <x:c r="H18" s="5"/>
      <x:c r="I18" s="5"/>
      <x:c r="J18" s="5"/>
      <x:c r="K18" s="5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C2:K2"/>
    <x:mergeCell ref="C4:K4"/>
    <x:mergeCell ref="C18:K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8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4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2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6" customHeight="1">
      <x:c r="A2" s="1"/>
      <x:c r="B2" s="1"/>
      <x:c r="C2" s="3" t="str">
        <x:v>Statistical Evidence</x:v>
      </x:c>
      <x:c r="D2" s="3"/>
      <x:c r="E2" s="3"/>
      <x:c r="F2" s="3"/>
      <x:c r="G2" s="3"/>
      <x:c r="H2" s="3"/>
      <x:c r="I2" s="3"/>
      <x:c r="J2" s="3"/>
      <x:c r="K2" s="3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1"/>
      <x:c r="B4" s="1"/>
      <x:c r="C4" s="5" t="str">
        <x:v>Retrospective plan committed before Session 2 inference, after descriptive means were known. This is not preregistration.</x:v>
      </x:c>
      <x:c r="D4" s="5"/>
      <x:c r="E4" s="5"/>
      <x:c r="F4" s="5"/>
      <x:c r="G4" s="5"/>
      <x:c r="H4" s="5"/>
      <x:c r="I4" s="5"/>
      <x:c r="J4" s="5"/>
      <x:c r="K4" s="5"/>
      <x:c r="L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6" customHeight="1">
      <x:c r="A6" s="1"/>
      <x:c r="B6" s="1"/>
      <x:c r="C6" s="9" t="str">
        <x:v>Outcome</x:v>
      </x:c>
      <x:c r="D6" s="9" t="str">
        <x:v>Contrast</x:v>
      </x:c>
      <x:c r="E6" s="9" t="str">
        <x:v>Effect</x:v>
      </x:c>
      <x:c r="F6" s="9" t="str">
        <x:v>95% lower</x:v>
      </x:c>
      <x:c r="G6" s="9" t="str">
        <x:v>95% upper</x:v>
      </x:c>
      <x:c r="H6" s="9" t="str">
        <x:v>Raw p</x:v>
      </x:c>
      <x:c r="I6" s="9" t="str">
        <x:v>Holm p</x:v>
      </x:c>
      <x:c r="J6" s="9" t="str">
        <x:v>Family</x:v>
      </x:c>
      <x:c r="K6" s="9" t="str">
        <x:v>Unit</x:v>
      </x:c>
      <x:c r="L6" s="1"/>
    </x:row>
    <x:row r="7" ht="24" customHeight="1">
      <x:c r="A7" s="1"/>
      <x:c r="B7" s="1"/>
      <x:c r="C7" s="1" t="str">
        <x:v>conversion</x:v>
      </x:c>
      <x:c r="D7" s="1" t="str">
        <x:v>Men's email minus Control</x:v>
      </x:c>
      <x:c r="E7" s="41" t="n">
        <x:v>0.0068050065196156</x:v>
      </x:c>
      <x:c r="F7" s="41" t="n">
        <x:v>0.0050143446714815</x:v>
      </x:c>
      <x:c r="G7" s="41" t="n">
        <x:v>0.0086407233969178</x:v>
      </x:c>
      <x:c r="H7" s="21" t="n">
        <x:v>1.167425327483139e-13</x:v>
      </x:c>
      <x:c r="I7" s="21" t="n">
        <x:v>2.334850654966278e-13</x:v>
      </x:c>
      <x:c r="J7" s="1" t="str">
        <x:v>primary_conversion</x:v>
      </x:c>
      <x:c r="K7" s="1" t="str">
        <x:v>fraction</x:v>
      </x:c>
      <x:c r="L7" s="1"/>
    </x:row>
    <x:row r="8" ht="24" customHeight="1">
      <x:c r="A8" s="1"/>
      <x:c r="B8" s="1"/>
      <x:c r="C8" s="1" t="str">
        <x:v>conversion</x:v>
      </x:c>
      <x:c r="D8" s="1" t="str">
        <x:v>Women's email minus Control</x:v>
      </x:c>
      <x:c r="E8" s="41" t="n">
        <x:v>0.0031110575110852</x:v>
      </x:c>
      <x:c r="F8" s="41" t="n">
        <x:v>0.001501657131877</x:v>
      </x:c>
      <x:c r="G8" s="41" t="n">
        <x:v>0.0047454713136729</x:v>
      </x:c>
      <x:c r="H8" s="21" t="n">
        <x:v>0.0001649987763415</x:v>
      </x:c>
      <x:c r="I8" s="21" t="n">
        <x:v>0.0001649987763415</x:v>
      </x:c>
      <x:c r="J8" s="1" t="str">
        <x:v>primary_conversion</x:v>
      </x:c>
      <x:c r="K8" s="1" t="str">
        <x:v>fraction</x:v>
      </x:c>
      <x:c r="L8" s="1"/>
    </x:row>
    <x:row r="9" ht="24" customHeight="1">
      <x:c r="A9" s="1"/>
      <x:c r="B9" s="1"/>
      <x:c r="C9" s="1" t="str">
        <x:v>conversion</x:v>
      </x:c>
      <x:c r="D9" s="1" t="str">
        <x:v>Men's email minus Women's email</x:v>
      </x:c>
      <x:c r="E9" s="41" t="n">
        <x:v>0.0036939490085304</x:v>
      </x:c>
      <x:c r="F9" s="41" t="n">
        <x:v>0.0017462848141901</x:v>
      </x:c>
      <x:c r="G9" s="41" t="n">
        <x:v>0.0056626144233915</x:v>
      </x:c>
      <x:c r="H9" s="21" t="n">
        <x:v>0.0002327321575241</x:v>
      </x:c>
      <x:c r="I9" s="21" t="n">
        <x:v>0.0004654643150482</x:v>
      </x:c>
      <x:c r="J9" s="1" t="str">
        <x:v>exploratory_email_comparison</x:v>
      </x:c>
      <x:c r="K9" s="1" t="str">
        <x:v>fraction</x:v>
      </x:c>
      <x:c r="L9" s="1"/>
    </x:row>
    <x:row r="10" ht="24" customHeight="1">
      <x:c r="A10" s="1"/>
      <x:c r="B10" s="1"/>
      <x:c r="C10" s="1" t="str">
        <x:v>visit</x:v>
      </x:c>
      <x:c r="D10" s="1" t="str">
        <x:v>Men's email minus Control</x:v>
      </x:c>
      <x:c r="E10" s="41" t="n">
        <x:v>0.0765895636515312</x:v>
      </x:c>
      <x:c r="F10" s="41" t="n">
        <x:v>0.0699533080837315</x:v>
      </x:c>
      <x:c r="G10" s="41" t="n">
        <x:v>0.0832267412741113</x:v>
      </x:c>
      <x:c r="H10" s="21" t="n">
        <x:v>5.43735902795221e-113</x:v>
      </x:c>
      <x:c r="I10" s="21" t="n">
        <x:v>1.087471805590442e-112</x:v>
      </x:c>
      <x:c r="J10" s="1" t="str">
        <x:v>secondary_visit</x:v>
      </x:c>
      <x:c r="K10" s="1" t="str">
        <x:v>fraction</x:v>
      </x:c>
      <x:c r="L10" s="1"/>
    </x:row>
    <x:row r="11" ht="24" customHeight="1">
      <x:c r="A11" s="1"/>
      <x:c r="B11" s="1"/>
      <x:c r="C11" s="1" t="str">
        <x:v>visit</x:v>
      </x:c>
      <x:c r="D11" s="1" t="str">
        <x:v>Women's email minus Control</x:v>
      </x:c>
      <x:c r="E11" s="41" t="n">
        <x:v>0.0452331065870529</x:v>
      </x:c>
      <x:c r="F11" s="41" t="n">
        <x:v>0.0388940953599881</x:v>
      </x:c>
      <x:c r="G11" s="41" t="n">
        <x:v>0.0515743429622135</x:v>
      </x:c>
      <x:c r="H11" s="21" t="n">
        <x:v>2.3009944473809107e-44</x:v>
      </x:c>
      <x:c r="I11" s="21" t="n">
        <x:v>2.3009944473809107e-44</x:v>
      </x:c>
      <x:c r="J11" s="1" t="str">
        <x:v>secondary_visit</x:v>
      </x:c>
      <x:c r="K11" s="1" t="str">
        <x:v>fraction</x:v>
      </x:c>
      <x:c r="L11" s="1"/>
    </x:row>
    <x:row r="12" ht="24" customHeight="1">
      <x:c r="A12" s="1"/>
      <x:c r="B12" s="1"/>
      <x:c r="C12" s="1" t="str">
        <x:v>visit</x:v>
      </x:c>
      <x:c r="D12" s="1" t="str">
        <x:v>Men's email minus Women's email</x:v>
      </x:c>
      <x:c r="E12" s="41" t="n">
        <x:v>0.0313564570644782</x:v>
      </x:c>
      <x:c r="F12" s="41" t="n">
        <x:v>0.0242841258148011</x:v>
      </x:c>
      <x:c r="G12" s="41" t="n">
        <x:v>0.0384276587098055</x:v>
      </x:c>
      <x:c r="H12" s="21" t="n">
        <x:v>3.794051379189137e-18</x:v>
      </x:c>
      <x:c r="I12" s="21" t="n">
        <x:v>1.1382154137567409e-17</x:v>
      </x:c>
      <x:c r="J12" s="1" t="str">
        <x:v>exploratory_email_comparison</x:v>
      </x:c>
      <x:c r="K12" s="1" t="str">
        <x:v>fraction</x:v>
      </x:c>
      <x:c r="L12" s="1"/>
    </x:row>
    <x:row r="13" ht="24" customHeight="1">
      <x:c r="A13" s="1"/>
      <x:c r="B13" s="1"/>
      <x:c r="C13" s="1" t="str">
        <x:v>spend</x:v>
      </x:c>
      <x:c r="D13" s="1" t="str">
        <x:v>Men's email minus Control</x:v>
      </x:c>
      <x:c r="E13" s="41" t="n">
        <x:v>0.7698271558945368</x:v>
      </x:c>
      <x:c r="F13" s="41" t="n">
        <x:v>0.4888439506020242</x:v>
      </x:c>
      <x:c r="G13" s="41" t="n">
        <x:v>1.057274164706138</x:v>
      </x:c>
      <x:c r="H13" s="21" t="n">
        <x:v>1.163814968225482e-7</x:v>
      </x:c>
      <x:c r="I13" s="21" t="n">
        <x:v>2.327629936450964e-7</x:v>
      </x:c>
      <x:c r="J13" s="1" t="str">
        <x:v>secondary_revenue</x:v>
      </x:c>
      <x:c r="K13" s="1" t="str">
        <x:v>$/customer</x:v>
      </x:c>
      <x:c r="L13" s="1"/>
    </x:row>
    <x:row r="14" ht="24" customHeight="1">
      <x:c r="A14" s="1"/>
      <x:c r="B14" s="1"/>
      <x:c r="C14" s="1" t="str">
        <x:v>spend</x:v>
      </x:c>
      <x:c r="D14" s="1" t="str">
        <x:v>Women's email minus Control</x:v>
      </x:c>
      <x:c r="E14" s="41" t="n">
        <x:v>0.4244122159365967</x:v>
      </x:c>
      <x:c r="F14" s="41" t="n">
        <x:v>0.1690340742764421</x:v>
      </x:c>
      <x:c r="G14" s="41" t="n">
        <x:v>0.6809540752206753</x:v>
      </x:c>
      <x:c r="H14" s="21" t="n">
        <x:v>0.0011293971023632</x:v>
      </x:c>
      <x:c r="I14" s="21" t="n">
        <x:v>0.0011293971023632</x:v>
      </x:c>
      <x:c r="J14" s="1" t="str">
        <x:v>secondary_revenue</x:v>
      </x:c>
      <x:c r="K14" s="1" t="str">
        <x:v>$/customer</x:v>
      </x:c>
      <x:c r="L14" s="1"/>
    </x:row>
    <x:row r="15" ht="24" customHeight="1">
      <x:c r="A15" s="1"/>
      <x:c r="B15" s="1"/>
      <x:c r="C15" s="1" t="str">
        <x:v>spend</x:v>
      </x:c>
      <x:c r="D15" s="1" t="str">
        <x:v>Men's email minus Women's email</x:v>
      </x:c>
      <x:c r="E15" s="41" t="n">
        <x:v>0.34541493995794</x:v>
      </x:c>
      <x:c r="F15" s="41" t="n">
        <x:v>0.0290833234851418</x:v>
      </x:c>
      <x:c r="G15" s="41" t="n">
        <x:v>0.6569225082581893</x:v>
      </x:c>
      <x:c r="H15" s="21" t="n">
        <x:v>0.0304686511852992</x:v>
      </x:c>
      <x:c r="I15" s="21" t="n">
        <x:v>0.0304686511852992</x:v>
      </x:c>
      <x:c r="J15" s="1" t="str">
        <x:v>exploratory_email_comparison</x:v>
      </x:c>
      <x:c r="K15" s="1" t="str">
        <x:v>$/customer</x:v>
      </x:c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42" customHeight="1">
      <x:c r="A18" s="1"/>
      <x:c r="B18" s="1"/>
      <x:c r="C18" s="5" t="str">
        <x:v>Binary: two-sided Fisher exact tests; Newcombe/Wilson risk-difference intervals. Revenue: 10,000 customer bootstrap replications, seed 20261020, percentile intervals; separate Welch p-values.</x:v>
      </x:c>
      <x:c r="D18" s="5"/>
      <x:c r="E18" s="5"/>
      <x:c r="F18" s="5"/>
      <x:c r="G18" s="5"/>
      <x:c r="H18" s="5"/>
      <x:c r="I18" s="5"/>
      <x:c r="J18" s="5"/>
      <x:c r="K18" s="5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42" customHeight="1">
      <x:c r="A21" s="1"/>
      <x:c r="B21" s="1"/>
      <x:c r="C21" s="5" t="str">
        <x:v>Holm applies within declared families, not globally. Intervals are pointwise. None of 12 planned subgroup interactions survived Holm adjustment; no targeting policy is validated.</x:v>
      </x:c>
      <x:c r="D21" s="5"/>
      <x:c r="E21" s="5"/>
      <x:c r="F21" s="5"/>
      <x:c r="G21" s="5"/>
      <x:c r="H21" s="5"/>
      <x:c r="I21" s="5"/>
      <x:c r="J21" s="5"/>
      <x:c r="K21" s="5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42" customHeight="1">
      <x:c r="A24" s="1"/>
      <x:c r="B24" s="1"/>
      <x:c r="C24" s="5" t="str">
        <x:v>Conditional net intervals use N × multiplier × margin × revenue interval minus costs. Assumptions are fixed and nonnegative. This excludes commercial and extrapolation uncertainty.</x:v>
      </x:c>
      <x:c r="D24" s="5"/>
      <x:c r="E24" s="5"/>
      <x:c r="F24" s="5"/>
      <x:c r="G24" s="5"/>
      <x:c r="H24" s="5"/>
      <x:c r="I24" s="5"/>
      <x:c r="J24" s="5"/>
      <x:c r="K24" s="5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C2:K2"/>
    <x:mergeCell ref="C4:K4"/>
    <x:mergeCell ref="C18:K18"/>
    <x:mergeCell ref="C21:K21"/>
    <x:mergeCell ref="C24:K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8364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1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6" customHeight="1">
      <x:c r="A2" s="1"/>
      <x:c r="B2" s="1"/>
      <x:c r="C2" s="3" t="str">
        <x:v>Dictionary &amp; Methodology</x:v>
      </x:c>
      <x:c r="D2" s="3"/>
      <x:c r="E2" s="3"/>
      <x:c r="F2" s="3"/>
      <x:c r="G2" s="3"/>
      <x:c r="H2" s="3"/>
      <x:c r="I2" s="3"/>
      <x:c r="J2" s="3"/>
      <x:c r="K2" s="3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6" customHeight="1">
      <x:c r="A6" s="1"/>
      <x:c r="B6" s="1"/>
      <x:c r="C6" s="9" t="str">
        <x:v>Term / source</x:v>
      </x:c>
      <x:c r="D6" s="9" t="str">
        <x:v>Definition</x:v>
      </x:c>
      <x:c r="E6" s="1"/>
      <x:c r="F6" s="1"/>
      <x:c r="G6" s="1"/>
      <x:c r="H6" s="1"/>
      <x:c r="I6" s="1"/>
      <x:c r="J6" s="1"/>
      <x:c r="K6" s="1"/>
      <x:c r="L6" s="1"/>
    </x:row>
    <x:row r="7" ht="46" customHeight="1">
      <x:c r="A7" s="1"/>
      <x:c r="B7" s="1"/>
      <x:c r="C7" s="44" t="str">
        <x:v>Original source</x:v>
      </x:c>
      <x:c r="D7" s="44" t="str">
        <x:v>https://blog.minethatdata.com/2008/03/minethatdata-e-mail-analytics-and-data.html</x:v>
      </x:c>
      <x:c r="E7" s="1"/>
      <x:c r="F7" s="1"/>
      <x:c r="G7" s="1"/>
      <x:c r="H7" s="1"/>
      <x:c r="I7" s="1"/>
      <x:c r="J7" s="1"/>
      <x:c r="K7" s="1"/>
      <x:c r="L7" s="1"/>
    </x:row>
    <x:row r="8" ht="46" customHeight="1">
      <x:c r="A8" s="1"/>
      <x:c r="B8" s="1"/>
      <x:c r="C8" s="44" t="str">
        <x:v>CSV source</x:v>
      </x:c>
      <x:c r="D8" s="44" t="str">
        <x:v>http://www.minethatdata.com/Kevin_Hillstrom_MineThatData_E-MailAnalytics_DataMiningChallenge_2008.03.20.csv</x:v>
      </x:c>
      <x:c r="E8" s="1"/>
      <x:c r="F8" s="1"/>
      <x:c r="G8" s="1"/>
      <x:c r="H8" s="1"/>
      <x:c r="I8" s="1"/>
      <x:c r="J8" s="1"/>
      <x:c r="K8" s="1"/>
      <x:c r="L8" s="1"/>
    </x:row>
    <x:row r="9" ht="46" customHeight="1">
      <x:c r="A9" s="1"/>
      <x:c r="B9" s="1"/>
      <x:c r="C9" s="44" t="str">
        <x:v>Source SHA-256</x:v>
      </x:c>
      <x:c r="D9" s="44" t="str">
        <x:v>0e5893329d8b93cefecc571777672028290ab69865718020c78c7284f291aece</x:v>
      </x:c>
      <x:c r="E9" s="1"/>
      <x:c r="F9" s="1"/>
      <x:c r="G9" s="1"/>
      <x:c r="H9" s="1"/>
      <x:c r="I9" s="1"/>
      <x:c r="J9" s="1"/>
      <x:c r="K9" s="1"/>
      <x:c r="L9" s="1"/>
    </x:row>
    <x:row r="10" ht="46" customHeight="1">
      <x:c r="A10" s="1"/>
      <x:c r="B10" s="1"/>
      <x:c r="C10" s="44" t="str">
        <x:v>Conversion rate</x:v>
      </x:c>
      <x:c r="D10" s="44" t="str">
        <x:v>Customers who purchased / assigned customers. No post-treatment exclusions.</x:v>
      </x:c>
      <x:c r="E10" s="1"/>
      <x:c r="F10" s="1"/>
      <x:c r="G10" s="1"/>
      <x:c r="H10" s="1"/>
      <x:c r="I10" s="1"/>
      <x:c r="J10" s="1"/>
      <x:c r="K10" s="1"/>
      <x:c r="L10" s="1"/>
    </x:row>
    <x:row r="11" ht="46" customHeight="1">
      <x:c r="A11" s="1"/>
      <x:c r="B11" s="1"/>
      <x:c r="C11" s="44" t="str">
        <x:v>Visit rate</x:v>
      </x:c>
      <x:c r="D11" s="44" t="str">
        <x:v>Customers who visited / assigned customers; not number of sessions.</x:v>
      </x:c>
      <x:c r="E11" s="1"/>
      <x:c r="F11" s="1"/>
      <x:c r="G11" s="1"/>
      <x:c r="H11" s="1"/>
      <x:c r="I11" s="1"/>
      <x:c r="J11" s="1"/>
      <x:c r="K11" s="1"/>
      <x:c r="L11" s="1"/>
    </x:row>
    <x:row r="12" ht="46" customHeight="1">
      <x:c r="A12" s="1"/>
      <x:c r="B12" s="1"/>
      <x:c r="C12" s="44" t="str">
        <x:v>Revenue per customer</x:v>
      </x:c>
      <x:c r="D12" s="44" t="str">
        <x:v>Total spend / assigned customers, including zero spend. Source dollars; no currency conversion.</x:v>
      </x:c>
      <x:c r="E12" s="1"/>
      <x:c r="F12" s="1"/>
      <x:c r="G12" s="1"/>
      <x:c r="H12" s="1"/>
      <x:c r="I12" s="1"/>
      <x:c r="J12" s="1"/>
      <x:c r="K12" s="1"/>
      <x:c r="L12" s="1"/>
    </x:row>
    <x:row r="13" ht="46" customHeight="1">
      <x:c r="A13" s="1"/>
      <x:c r="B13" s="1"/>
      <x:c r="C13" s="44" t="str">
        <x:v>Net contribution</x:v>
      </x:c>
      <x:c r="D13" s="44" t="str">
        <x:v>Audience × historical revenue effect × multiplier × assumed margin − audience × delivery cost − fixed setup.</x:v>
      </x:c>
      <x:c r="E13" s="1"/>
      <x:c r="F13" s="1"/>
      <x:c r="G13" s="1"/>
      <x:c r="H13" s="1"/>
      <x:c r="I13" s="1"/>
      <x:c r="J13" s="1"/>
      <x:c r="K13" s="1"/>
      <x:c r="L13" s="1"/>
    </x:row>
    <x:row r="14" ht="46" customHeight="1">
      <x:c r="A14" s="1"/>
      <x:c r="B14" s="1"/>
      <x:c r="C14" s="44" t="str">
        <x:v>Break-even uplift</x:v>
      </x:c>
      <x:c r="D14" s="44" t="str">
        <x:v>Total costs / (audience × margin); effective uplift after multiplier. Undefined if denominator is zero.</x:v>
      </x:c>
      <x:c r="E14" s="1"/>
      <x:c r="F14" s="1"/>
      <x:c r="G14" s="1"/>
      <x:c r="H14" s="1"/>
      <x:c r="I14" s="1"/>
      <x:c r="J14" s="1"/>
      <x:c r="K14" s="1"/>
      <x:c r="L14" s="1"/>
    </x:row>
    <x:row r="15" ht="46" customHeight="1">
      <x:c r="A15" s="1"/>
      <x:c r="B15" s="1"/>
      <x:c r="C15" s="44" t="str">
        <x:v>Break-even margin</x:v>
      </x:c>
      <x:c r="D15" s="44" t="str">
        <x:v>Total costs / projected incremental revenue when revenue is positive; above 100% is infeasible.</x:v>
      </x:c>
      <x:c r="E15" s="1"/>
      <x:c r="F15" s="1"/>
      <x:c r="G15" s="1"/>
      <x:c r="H15" s="1"/>
      <x:c r="I15" s="1"/>
      <x:c r="J15" s="1"/>
      <x:c r="K15" s="1"/>
      <x:c r="L15" s="1"/>
    </x:row>
    <x:row r="16" ht="46" customHeight="1">
      <x:c r="A16" s="1"/>
      <x:c r="B16" s="1"/>
      <x:c r="C16" s="44" t="str">
        <x:v>Maximum delivery cost</x:v>
      </x:c>
      <x:c r="D16" s="44" t="str">
        <x:v>Effective uplift × margin − fixed setup / audience. Negative means no nonnegative delivery price is affordable.</x:v>
      </x:c>
      <x:c r="E16" s="1"/>
      <x:c r="F16" s="1"/>
      <x:c r="G16" s="1"/>
      <x:c r="H16" s="1"/>
      <x:c r="I16" s="1"/>
      <x:c r="J16" s="1"/>
      <x:c r="K16" s="1"/>
      <x:c r="L16" s="1"/>
    </x:row>
    <x:row r="17" ht="46" customHeight="1">
      <x:c r="A17" s="1"/>
      <x:c r="B17" s="1"/>
      <x:c r="C17" s="44" t="str">
        <x:v>Net return on cost</x:v>
      </x:c>
      <x:c r="D17" s="44" t="str">
        <x:v>Net contribution / incremental campaign cost; undefined at zero cost. Not measured or realized ROI.</x:v>
      </x:c>
      <x:c r="E17" s="1"/>
      <x:c r="F17" s="1"/>
      <x:c r="G17" s="1"/>
      <x:c r="H17" s="1"/>
      <x:c r="I17" s="1"/>
      <x:c r="J17" s="1"/>
      <x:c r="K17" s="1"/>
      <x:c r="L17" s="1"/>
    </x:row>
    <x:row r="18" ht="46" customHeight="1">
      <x:c r="A18" s="1"/>
      <x:c r="B18" s="1"/>
      <x:c r="C18" s="44" t="str">
        <x:v>Statistical uncertainty</x:v>
      </x:c>
      <x:c r="D18" s="44" t="str">
        <x:v>Existing 95% pointwise percentile interval transformed under fixed assumptions. No joint treatment-choice guarantee.</x:v>
      </x:c>
      <x:c r="E18" s="1"/>
      <x:c r="F18" s="1"/>
      <x:c r="G18" s="1"/>
      <x:c r="H18" s="1"/>
      <x:c r="I18" s="1"/>
      <x:c r="J18" s="1"/>
      <x:c r="K18" s="1"/>
      <x:c r="L18" s="1"/>
    </x:row>
    <x:row r="19" ht="46" customHeight="1">
      <x:c r="A19" s="1"/>
      <x:c r="B19" s="1"/>
      <x:c r="C19" s="44" t="str">
        <x:v>Commercial uncertainty</x:v>
      </x:c>
      <x:c r="D19" s="44" t="str">
        <x:v>Costs, margin and multiplier are not estimated from the randomized experiment. Change inputs to explore them.</x:v>
      </x:c>
      <x:c r="E19" s="1"/>
      <x:c r="F19" s="1"/>
      <x:c r="G19" s="1"/>
      <x:c r="H19" s="1"/>
      <x:c r="I19" s="1"/>
      <x:c r="J19" s="1"/>
      <x:c r="K19" s="1"/>
      <x:c r="L19" s="1"/>
    </x:row>
    <x:row r="20" ht="46" customHeight="1">
      <x:c r="A20" s="1"/>
      <x:c r="B20" s="1"/>
      <x:c r="C20" s="44" t="str">
        <x:v>Extrapolation uncertainty</x:v>
      </x:c>
      <x:c r="D20" s="44" t="str">
        <x:v>Historical effects may not transfer to a contemporary audience. No future realized-profit prediction interval.</x:v>
      </x:c>
      <x:c r="E20" s="1"/>
      <x:c r="F20" s="1"/>
      <x:c r="G20" s="1"/>
      <x:c r="H20" s="1"/>
      <x:c r="I20" s="1"/>
      <x:c r="J20" s="1"/>
      <x:c r="K20" s="1"/>
      <x:c r="L20" s="1"/>
    </x:row>
    <x:row r="21" ht="46" customHeight="1">
      <x:c r="A21" s="1"/>
      <x:c r="B21" s="1"/>
      <x:c r="C21" s="44" t="str">
        <x:v>Data handling</x:v>
      </x:c>
      <x:c r="D21" s="44" t="str">
        <x:v>64,000 rows, 6,562 repeated rows retained. No original customer IDs or dates. Raw source bytes are excluded from this workbook.</x:v>
      </x:c>
      <x:c r="E21" s="1"/>
      <x:c r="F21" s="1"/>
      <x:c r="G21" s="1"/>
      <x:c r="H21" s="1"/>
      <x:c r="I21" s="1"/>
      <x:c r="J21" s="1"/>
      <x:c r="K21" s="1"/>
      <x:c r="L21" s="1"/>
    </x:row>
    <x:row r="22" ht="46" customHeight="1">
      <x:c r="A22" s="1"/>
      <x:c r="B22" s="1"/>
      <x:c r="C22" s="44" t="str">
        <x:v>Verification boundary</x:v>
      </x:c>
      <x:c r="D22" s="44" t="str">
        <x:v>Recalculated and exported with Artifact Tool; independent Python and SQL reconciliation. Native Microsoft Excel and Power BI Desktop are not verified.</x:v>
      </x:c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mergeCells>
    <x:mergeCell ref="C2:D2"/>
  </x:mergeCells>
  <x:pageMargins left="0.7" right="0.7" top="0.75" bottom="0.75" header="0.3" footer="0.3"/>
</x:worksheet>
</file>